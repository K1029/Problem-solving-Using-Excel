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dipan\Videos\Data Science\Problem solving with excel\Week_1\"/>
    </mc:Choice>
  </mc:AlternateContent>
  <xr:revisionPtr revIDLastSave="0" documentId="13_ncr:1_{E70F3EA3-EAE4-4BFA-8562-E91CEDBCEEC4}" xr6:coauthVersionLast="47" xr6:coauthVersionMax="47" xr10:uidLastSave="{00000000-0000-0000-0000-000000000000}"/>
  <bookViews>
    <workbookView xWindow="-108" yWindow="-108" windowWidth="23256" windowHeight="12456" xr2:uid="{00000000-000D-0000-FFFF-FFFF00000000}"/>
  </bookViews>
  <sheets>
    <sheet name="Question" sheetId="14" r:id="rId1"/>
    <sheet name="Question_Ans" sheetId="7" state="hidden" r:id="rId2"/>
  </sheets>
  <externalReferences>
    <externalReference r:id="rId3"/>
  </externalReferences>
  <definedNames>
    <definedName name="Country">'[1]Data Set'!$F$9:$F$32</definedName>
    <definedName name="Revenue_Combinations">Question!$B$21:$B$42</definedName>
    <definedName name="Revenue_Combinations_Ans" localSheetId="0">Question!$H$22:$R$42</definedName>
    <definedName name="Revenue_Combinations_Ans">Question_Ans!$H$22:$R$42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R36" i="14" l="1"/>
  <c r="H36" i="14"/>
  <c r="I36" i="14"/>
  <c r="J36" i="14"/>
  <c r="K36" i="14"/>
  <c r="L36" i="14"/>
  <c r="M36" i="14"/>
  <c r="N36" i="14"/>
  <c r="O36" i="14"/>
  <c r="P36" i="14"/>
  <c r="Q36" i="14"/>
  <c r="I42" i="14"/>
  <c r="J42" i="14"/>
  <c r="K42" i="14"/>
  <c r="L42" i="14"/>
  <c r="M42" i="14"/>
  <c r="N42" i="14"/>
  <c r="O42" i="14"/>
  <c r="P42" i="14"/>
  <c r="Q42" i="14"/>
  <c r="R42" i="14"/>
  <c r="I41" i="14"/>
  <c r="J41" i="14"/>
  <c r="K41" i="14"/>
  <c r="L41" i="14"/>
  <c r="M41" i="14"/>
  <c r="N41" i="14"/>
  <c r="O41" i="14"/>
  <c r="P41" i="14"/>
  <c r="Q41" i="14"/>
  <c r="R41" i="14"/>
  <c r="H41" i="14"/>
  <c r="H42" i="14"/>
  <c r="I40" i="14"/>
  <c r="J40" i="14"/>
  <c r="K40" i="14"/>
  <c r="L40" i="14"/>
  <c r="M40" i="14"/>
  <c r="N40" i="14"/>
  <c r="O40" i="14"/>
  <c r="P40" i="14"/>
  <c r="Q40" i="14"/>
  <c r="R40" i="14"/>
  <c r="H40" i="14"/>
  <c r="I39" i="14"/>
  <c r="J39" i="14"/>
  <c r="K39" i="14"/>
  <c r="L39" i="14"/>
  <c r="M39" i="14"/>
  <c r="N39" i="14"/>
  <c r="O39" i="14"/>
  <c r="P39" i="14"/>
  <c r="Q39" i="14"/>
  <c r="R39" i="14"/>
  <c r="H39" i="14"/>
  <c r="I38" i="14"/>
  <c r="J38" i="14"/>
  <c r="K38" i="14"/>
  <c r="L38" i="14"/>
  <c r="M38" i="14"/>
  <c r="N38" i="14"/>
  <c r="O38" i="14"/>
  <c r="P38" i="14"/>
  <c r="Q38" i="14"/>
  <c r="R38" i="14"/>
  <c r="H38" i="14"/>
  <c r="I37" i="14"/>
  <c r="J37" i="14"/>
  <c r="K37" i="14"/>
  <c r="L37" i="14"/>
  <c r="M37" i="14"/>
  <c r="N37" i="14"/>
  <c r="O37" i="14"/>
  <c r="P37" i="14"/>
  <c r="Q37" i="14"/>
  <c r="R37" i="14"/>
  <c r="H37" i="14"/>
  <c r="I35" i="14"/>
  <c r="J35" i="14"/>
  <c r="K35" i="14"/>
  <c r="L35" i="14"/>
  <c r="M35" i="14"/>
  <c r="N35" i="14"/>
  <c r="O35" i="14"/>
  <c r="P35" i="14"/>
  <c r="Q35" i="14"/>
  <c r="R35" i="14"/>
  <c r="H35" i="14"/>
  <c r="I34" i="14"/>
  <c r="J34" i="14"/>
  <c r="K34" i="14"/>
  <c r="L34" i="14"/>
  <c r="M34" i="14"/>
  <c r="N34" i="14"/>
  <c r="O34" i="14"/>
  <c r="P34" i="14"/>
  <c r="Q34" i="14"/>
  <c r="R34" i="14"/>
  <c r="H34" i="14"/>
  <c r="I33" i="14"/>
  <c r="J33" i="14"/>
  <c r="K33" i="14"/>
  <c r="L33" i="14"/>
  <c r="M33" i="14"/>
  <c r="N33" i="14"/>
  <c r="O33" i="14"/>
  <c r="P33" i="14"/>
  <c r="Q33" i="14"/>
  <c r="R33" i="14"/>
  <c r="H33" i="14"/>
  <c r="I32" i="14"/>
  <c r="J32" i="14"/>
  <c r="K32" i="14"/>
  <c r="L32" i="14"/>
  <c r="M32" i="14"/>
  <c r="N32" i="14"/>
  <c r="O32" i="14"/>
  <c r="P32" i="14"/>
  <c r="Q32" i="14"/>
  <c r="R32" i="14"/>
  <c r="H32" i="14"/>
  <c r="I31" i="14"/>
  <c r="J31" i="14"/>
  <c r="K31" i="14"/>
  <c r="L31" i="14"/>
  <c r="M31" i="14"/>
  <c r="N31" i="14"/>
  <c r="O31" i="14"/>
  <c r="P31" i="14"/>
  <c r="Q31" i="14"/>
  <c r="R31" i="14"/>
  <c r="H31" i="14"/>
  <c r="I30" i="14"/>
  <c r="J30" i="14"/>
  <c r="K30" i="14"/>
  <c r="L30" i="14"/>
  <c r="M30" i="14"/>
  <c r="N30" i="14"/>
  <c r="O30" i="14"/>
  <c r="P30" i="14"/>
  <c r="Q30" i="14"/>
  <c r="R30" i="14"/>
  <c r="H30" i="14"/>
  <c r="I29" i="14"/>
  <c r="J29" i="14"/>
  <c r="K29" i="14"/>
  <c r="L29" i="14"/>
  <c r="M29" i="14"/>
  <c r="N29" i="14"/>
  <c r="O29" i="14"/>
  <c r="P29" i="14"/>
  <c r="Q29" i="14"/>
  <c r="R29" i="14"/>
  <c r="H29" i="14"/>
  <c r="I28" i="14"/>
  <c r="J28" i="14"/>
  <c r="K28" i="14"/>
  <c r="L28" i="14"/>
  <c r="M28" i="14"/>
  <c r="N28" i="14"/>
  <c r="O28" i="14"/>
  <c r="P28" i="14"/>
  <c r="Q28" i="14"/>
  <c r="R28" i="14"/>
  <c r="H28" i="14"/>
  <c r="I27" i="14"/>
  <c r="J27" i="14"/>
  <c r="K27" i="14"/>
  <c r="L27" i="14"/>
  <c r="M27" i="14"/>
  <c r="N27" i="14"/>
  <c r="O27" i="14"/>
  <c r="P27" i="14"/>
  <c r="Q27" i="14"/>
  <c r="R27" i="14"/>
  <c r="H27" i="14"/>
  <c r="I26" i="14"/>
  <c r="J26" i="14"/>
  <c r="K26" i="14"/>
  <c r="L26" i="14"/>
  <c r="M26" i="14"/>
  <c r="N26" i="14"/>
  <c r="O26" i="14"/>
  <c r="P26" i="14"/>
  <c r="Q26" i="14"/>
  <c r="R26" i="14"/>
  <c r="H26" i="14"/>
  <c r="I25" i="14"/>
  <c r="J25" i="14"/>
  <c r="K25" i="14"/>
  <c r="L25" i="14"/>
  <c r="M25" i="14"/>
  <c r="N25" i="14"/>
  <c r="O25" i="14"/>
  <c r="P25" i="14"/>
  <c r="Q25" i="14"/>
  <c r="R25" i="14"/>
  <c r="H25" i="14"/>
  <c r="I24" i="14"/>
  <c r="J24" i="14"/>
  <c r="K24" i="14"/>
  <c r="L24" i="14"/>
  <c r="M24" i="14"/>
  <c r="N24" i="14"/>
  <c r="O24" i="14"/>
  <c r="P24" i="14"/>
  <c r="Q24" i="14"/>
  <c r="R24" i="14"/>
  <c r="H24" i="14"/>
  <c r="H22" i="14"/>
  <c r="I22" i="14"/>
  <c r="J22" i="14"/>
  <c r="K22" i="14"/>
  <c r="L22" i="14"/>
  <c r="M22" i="14"/>
  <c r="N22" i="14"/>
  <c r="O22" i="14"/>
  <c r="P22" i="14"/>
  <c r="Q22" i="14"/>
  <c r="R22" i="14"/>
  <c r="I23" i="14"/>
  <c r="J23" i="14"/>
  <c r="K23" i="14"/>
  <c r="L23" i="14"/>
  <c r="M23" i="14"/>
  <c r="N23" i="14"/>
  <c r="O23" i="14"/>
  <c r="P23" i="14"/>
  <c r="Q23" i="14"/>
  <c r="R23" i="14"/>
  <c r="H23" i="14"/>
  <c r="M33" i="7"/>
  <c r="C23" i="14"/>
  <c r="C24" i="14"/>
  <c r="C25" i="14"/>
  <c r="C26" i="14"/>
  <c r="C27" i="14"/>
  <c r="C28" i="14"/>
  <c r="C29" i="14"/>
  <c r="C30" i="14"/>
  <c r="C31" i="14"/>
  <c r="C32" i="14"/>
  <c r="A2" i="14"/>
  <c r="A1" i="14"/>
  <c r="H22" i="7"/>
  <c r="I22" i="7"/>
  <c r="J22" i="7"/>
  <c r="K22" i="7"/>
  <c r="L22" i="7"/>
  <c r="M22" i="7"/>
  <c r="N22" i="7"/>
  <c r="O22" i="7"/>
  <c r="P22" i="7"/>
  <c r="Q22" i="7"/>
  <c r="R22" i="7"/>
  <c r="H23" i="7"/>
  <c r="I23" i="7"/>
  <c r="J23" i="7"/>
  <c r="K23" i="7"/>
  <c r="L23" i="7"/>
  <c r="M23" i="7"/>
  <c r="N23" i="7"/>
  <c r="O23" i="7"/>
  <c r="P23" i="7"/>
  <c r="Q23" i="7"/>
  <c r="R23" i="7"/>
  <c r="H24" i="7"/>
  <c r="I24" i="7"/>
  <c r="J24" i="7"/>
  <c r="K24" i="7"/>
  <c r="L24" i="7"/>
  <c r="M24" i="7"/>
  <c r="N24" i="7"/>
  <c r="O24" i="7"/>
  <c r="P24" i="7"/>
  <c r="Q24" i="7"/>
  <c r="R24" i="7"/>
  <c r="H25" i="7"/>
  <c r="I25" i="7"/>
  <c r="J25" i="7"/>
  <c r="K25" i="7"/>
  <c r="L25" i="7"/>
  <c r="M25" i="7"/>
  <c r="N25" i="7"/>
  <c r="O25" i="7"/>
  <c r="P25" i="7"/>
  <c r="Q25" i="7"/>
  <c r="R25" i="7"/>
  <c r="H26" i="7"/>
  <c r="I26" i="7"/>
  <c r="J26" i="7"/>
  <c r="K26" i="7"/>
  <c r="L26" i="7"/>
  <c r="M26" i="7"/>
  <c r="N26" i="7"/>
  <c r="O26" i="7"/>
  <c r="P26" i="7"/>
  <c r="Q26" i="7"/>
  <c r="R26" i="7"/>
  <c r="H27" i="7"/>
  <c r="I27" i="7"/>
  <c r="J27" i="7"/>
  <c r="K27" i="7"/>
  <c r="L27" i="7"/>
  <c r="M27" i="7"/>
  <c r="N27" i="7"/>
  <c r="O27" i="7"/>
  <c r="P27" i="7"/>
  <c r="Q27" i="7"/>
  <c r="R27" i="7"/>
  <c r="H28" i="7"/>
  <c r="I28" i="7"/>
  <c r="J28" i="7"/>
  <c r="K28" i="7"/>
  <c r="L28" i="7"/>
  <c r="M28" i="7"/>
  <c r="N28" i="7"/>
  <c r="O28" i="7"/>
  <c r="P28" i="7"/>
  <c r="Q28" i="7"/>
  <c r="R28" i="7"/>
  <c r="H29" i="7"/>
  <c r="I29" i="7"/>
  <c r="J29" i="7"/>
  <c r="K29" i="7"/>
  <c r="L29" i="7"/>
  <c r="M29" i="7"/>
  <c r="N29" i="7"/>
  <c r="O29" i="7"/>
  <c r="P29" i="7"/>
  <c r="Q29" i="7"/>
  <c r="R29" i="7"/>
  <c r="H30" i="7"/>
  <c r="I30" i="7"/>
  <c r="J30" i="7"/>
  <c r="K30" i="7"/>
  <c r="L30" i="7"/>
  <c r="M30" i="7"/>
  <c r="N30" i="7"/>
  <c r="O30" i="7"/>
  <c r="P30" i="7"/>
  <c r="Q30" i="7"/>
  <c r="R30" i="7"/>
  <c r="H31" i="7"/>
  <c r="I31" i="7"/>
  <c r="J31" i="7"/>
  <c r="K31" i="7"/>
  <c r="L31" i="7"/>
  <c r="M31" i="7"/>
  <c r="N31" i="7"/>
  <c r="O31" i="7"/>
  <c r="P31" i="7"/>
  <c r="Q31" i="7"/>
  <c r="R31" i="7"/>
  <c r="H32" i="7"/>
  <c r="I32" i="7"/>
  <c r="J32" i="7"/>
  <c r="K32" i="7"/>
  <c r="L32" i="7"/>
  <c r="M32" i="7"/>
  <c r="N32" i="7"/>
  <c r="O32" i="7"/>
  <c r="P32" i="7"/>
  <c r="Q32" i="7"/>
  <c r="R32" i="7"/>
  <c r="H33" i="7"/>
  <c r="I33" i="7"/>
  <c r="J33" i="7"/>
  <c r="K33" i="7"/>
  <c r="L33" i="7"/>
  <c r="N33" i="7"/>
  <c r="O33" i="7"/>
  <c r="P33" i="7"/>
  <c r="Q33" i="7"/>
  <c r="R33" i="7"/>
  <c r="H34" i="7"/>
  <c r="I34" i="7"/>
  <c r="J34" i="7"/>
  <c r="K34" i="7"/>
  <c r="L34" i="7"/>
  <c r="M34" i="7"/>
  <c r="N34" i="7"/>
  <c r="O34" i="7"/>
  <c r="P34" i="7"/>
  <c r="Q34" i="7"/>
  <c r="R34" i="7"/>
  <c r="H35" i="7"/>
  <c r="I35" i="7"/>
  <c r="J35" i="7"/>
  <c r="K35" i="7"/>
  <c r="L35" i="7"/>
  <c r="M35" i="7"/>
  <c r="N35" i="7"/>
  <c r="O35" i="7"/>
  <c r="P35" i="7"/>
  <c r="Q35" i="7"/>
  <c r="R35" i="7"/>
  <c r="H36" i="7"/>
  <c r="I36" i="7"/>
  <c r="J36" i="7"/>
  <c r="K36" i="7"/>
  <c r="L36" i="7"/>
  <c r="M36" i="7"/>
  <c r="N36" i="7"/>
  <c r="O36" i="7"/>
  <c r="P36" i="7"/>
  <c r="Q36" i="7"/>
  <c r="R36" i="7"/>
  <c r="H37" i="7"/>
  <c r="I37" i="7"/>
  <c r="J37" i="7"/>
  <c r="K37" i="7"/>
  <c r="L37" i="7"/>
  <c r="M37" i="7"/>
  <c r="N37" i="7"/>
  <c r="O37" i="7"/>
  <c r="P37" i="7"/>
  <c r="Q37" i="7"/>
  <c r="R37" i="7"/>
  <c r="H38" i="7"/>
  <c r="I38" i="7"/>
  <c r="J38" i="7"/>
  <c r="K38" i="7"/>
  <c r="L38" i="7"/>
  <c r="M38" i="7"/>
  <c r="N38" i="7"/>
  <c r="O38" i="7"/>
  <c r="P38" i="7"/>
  <c r="Q38" i="7"/>
  <c r="R38" i="7"/>
  <c r="H39" i="7"/>
  <c r="I39" i="7"/>
  <c r="J39" i="7"/>
  <c r="K39" i="7"/>
  <c r="L39" i="7"/>
  <c r="M39" i="7"/>
  <c r="N39" i="7"/>
  <c r="O39" i="7"/>
  <c r="P39" i="7"/>
  <c r="Q39" i="7"/>
  <c r="R39" i="7"/>
  <c r="H40" i="7"/>
  <c r="I40" i="7"/>
  <c r="J40" i="7"/>
  <c r="K40" i="7"/>
  <c r="L40" i="7"/>
  <c r="M40" i="7"/>
  <c r="N40" i="7"/>
  <c r="O40" i="7"/>
  <c r="P40" i="7"/>
  <c r="Q40" i="7"/>
  <c r="R40" i="7"/>
  <c r="H41" i="7"/>
  <c r="I41" i="7"/>
  <c r="J41" i="7"/>
  <c r="K41" i="7"/>
  <c r="L41" i="7"/>
  <c r="M41" i="7"/>
  <c r="N41" i="7"/>
  <c r="O41" i="7"/>
  <c r="P41" i="7"/>
  <c r="Q41" i="7"/>
  <c r="R41" i="7"/>
  <c r="H42" i="7"/>
  <c r="I42" i="7"/>
  <c r="J42" i="7"/>
  <c r="K42" i="7"/>
  <c r="L42" i="7"/>
  <c r="M42" i="7"/>
  <c r="N42" i="7"/>
  <c r="O42" i="7"/>
  <c r="P42" i="7"/>
  <c r="Q42" i="7"/>
  <c r="R42" i="7"/>
  <c r="D56" i="7"/>
  <c r="D54" i="7"/>
  <c r="D55" i="7"/>
  <c r="C23" i="7"/>
  <c r="C24" i="7"/>
  <c r="C25" i="7"/>
  <c r="C26" i="7"/>
  <c r="C27" i="7"/>
  <c r="C28" i="7"/>
  <c r="C29" i="7"/>
  <c r="C30" i="7"/>
  <c r="C31" i="7"/>
  <c r="C32" i="7"/>
  <c r="A3" i="7"/>
  <c r="A2" i="7"/>
  <c r="A1" i="7"/>
</calcChain>
</file>

<file path=xl/sharedStrings.xml><?xml version="1.0" encoding="utf-8"?>
<sst xmlns="http://schemas.openxmlformats.org/spreadsheetml/2006/main" count="34" uniqueCount="16">
  <si>
    <t>Question</t>
  </si>
  <si>
    <t>Problem 1 - Student Lead</t>
  </si>
  <si>
    <t>Price</t>
  </si>
  <si>
    <t>Quantity</t>
  </si>
  <si>
    <t>Table A</t>
  </si>
  <si>
    <t>Table B</t>
  </si>
  <si>
    <t>Price Increment</t>
  </si>
  <si>
    <t>Problem 2 - Student Lead</t>
  </si>
  <si>
    <t>Sum of Revenue_Combinations</t>
  </si>
  <si>
    <t>Count of Revenue_Combinations</t>
  </si>
  <si>
    <t>Average of Revenue_Combinations</t>
  </si>
  <si>
    <t>Profitable:</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</si>
  <si>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</si>
  <si>
    <r>
      <t xml:space="preserve">1) Name Table B, Revenue_Combinations. If something is already named Revenue_Combinations, use the Name manager to update the range. </t>
    </r>
    <r>
      <rPr>
        <i/>
        <sz val="9"/>
        <color theme="1"/>
        <rFont val="Arial"/>
        <family val="2"/>
        <scheme val="minor"/>
      </rPr>
      <t>Hint: Do not include the column and row headers.</t>
    </r>
  </si>
  <si>
    <t>2) If you had a store sell every combination of quantity and price, what would the total revenue be and the average revenue be?</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</si>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</sst>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_(* \(#,##0\);_(* &quot;-&quot;_);@_)"/>
    <numFmt numFmtId="165" formatCode="0%_);\(0%\)"/>
    <numFmt numFmtId="166" formatCode="&quot;$&quot;#,##0.00"/>
    <numFmt numFmtId="167" formatCode="&quot;$&quot;#,##0"/>
  </numFmts>
  <fonts count="26" x14ac:knownFonts="1">
    <font>
      <sz val="9"/>
      <color theme="1"/>
      <name val="Arial"/>
      <family val="2"/>
      <scheme val="minor"/>
    </font>
    <font>
      <sz val="11"/>
      <color theme="1"/>
      <name val="Arial"/>
      <family val="2"/>
      <scheme val="minor"/>
    </font>
    <font>
      <b/>
      <sz val="11"/>
      <color theme="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theme="0"/>
      <name val="Arial"/>
      <family val="2"/>
      <scheme val="minor"/>
    </font>
    <font>
      <i/>
      <sz val="9"/>
      <color theme="1"/>
      <name val="Arial"/>
      <family val="2"/>
      <scheme val="minor"/>
    </font>
    <font>
      <sz val="9"/>
      <color rgb="FF000000"/>
      <name val="Arial"/>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rgb="FF92D050"/>
        <bgColor indexed="64"/>
      </patternFill>
    </fill>
    <fill>
      <patternFill patternType="solid">
        <fgColor theme="3" tint="-0.499984740745262"/>
        <bgColor indexed="64"/>
      </patternFill>
    </fill>
  </fills>
  <borders count="1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style="medium">
        <color theme="4"/>
      </right>
      <top/>
      <bottom/>
      <diagonal/>
    </border>
    <border>
      <left style="thin">
        <color theme="0"/>
      </left>
      <right style="thin">
        <color theme="0"/>
      </right>
      <top style="thin">
        <color theme="0"/>
      </top>
      <bottom style="thin">
        <color theme="0"/>
      </bottom>
      <diagonal/>
    </border>
  </borders>
  <cellStyleXfs count="30">
    <xf numFmtId="164" fontId="0" fillId="0" borderId="0"/>
    <xf numFmtId="9" fontId="1" fillId="0" borderId="0" applyFont="0" applyFill="0" applyBorder="0" applyAlignment="0" applyProtection="0"/>
    <xf numFmtId="0" fontId="4" fillId="0" borderId="1" applyFill="0" applyProtection="0">
      <alignment horizontal="right" wrapText="1"/>
    </xf>
    <xf numFmtId="0" fontId="2" fillId="0" borderId="0" applyAlignment="0" applyProtection="0"/>
    <xf numFmtId="49" fontId="21" fillId="0" borderId="0" applyAlignment="0" applyProtection="0"/>
    <xf numFmtId="49" fontId="12" fillId="0" borderId="1" applyFill="0" applyProtection="0">
      <alignment horizontal="right" wrapText="1"/>
    </xf>
    <xf numFmtId="49" fontId="13" fillId="0" borderId="0" applyProtection="0">
      <alignment wrapText="1"/>
    </xf>
    <xf numFmtId="49" fontId="14" fillId="0" borderId="7" applyFill="0" applyProtection="0">
      <alignment horizontal="right" wrapText="1"/>
    </xf>
    <xf numFmtId="49" fontId="14" fillId="0" borderId="0" applyProtection="0">
      <alignment wrapText="1"/>
    </xf>
    <xf numFmtId="0" fontId="11" fillId="2" borderId="0" applyNumberFormat="0" applyBorder="0" applyAlignment="0" applyProtection="0"/>
    <xf numFmtId="0" fontId="8" fillId="3" borderId="0" applyNumberFormat="0" applyBorder="0" applyAlignment="0" applyProtection="0"/>
    <xf numFmtId="0" fontId="17" fillId="4" borderId="0" applyNumberFormat="0" applyBorder="0" applyAlignment="0" applyProtection="0"/>
    <xf numFmtId="0" fontId="15" fillId="5" borderId="2" applyNumberFormat="0" applyAlignment="0" applyProtection="0"/>
    <xf numFmtId="0" fontId="18" fillId="6" borderId="3" applyNumberFormat="0" applyAlignment="0" applyProtection="0"/>
    <xf numFmtId="0" fontId="9" fillId="6" borderId="2" applyNumberFormat="0" applyAlignment="0" applyProtection="0"/>
    <xf numFmtId="0" fontId="16" fillId="0" borderId="4" applyNumberFormat="0" applyFill="0" applyAlignment="0" applyProtection="0"/>
    <xf numFmtId="0" fontId="5" fillId="7" borderId="5" applyNumberFormat="0" applyAlignment="0" applyProtection="0"/>
    <xf numFmtId="0" fontId="7" fillId="8" borderId="6" applyNumberFormat="0" applyAlignment="0" applyProtection="0"/>
    <xf numFmtId="0" fontId="10" fillId="0" borderId="0" applyNumberFormat="0" applyFill="0" applyBorder="0" applyAlignment="0" applyProtection="0"/>
    <xf numFmtId="0" fontId="22" fillId="0" borderId="10" applyNumberFormat="0" applyFill="0" applyAlignment="0" applyProtection="0"/>
    <xf numFmtId="164" fontId="4"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9" fillId="0" borderId="0" applyNumberFormat="0" applyAlignment="0" applyProtection="0"/>
    <xf numFmtId="0" fontId="4" fillId="0" borderId="0" applyFill="0" applyProtection="0">
      <alignment wrapText="1"/>
    </xf>
    <xf numFmtId="0" fontId="4" fillId="0" borderId="8" applyFill="0" applyProtection="0">
      <alignment wrapText="1"/>
    </xf>
    <xf numFmtId="164" fontId="20" fillId="0" borderId="9" applyNumberFormat="0" applyFill="0" applyAlignment="0" applyProtection="0"/>
    <xf numFmtId="0" fontId="20" fillId="0" borderId="10" applyNumberFormat="0" applyFill="0" applyAlignment="0" applyProtection="0"/>
  </cellStyleXfs>
  <cellXfs count="19">
    <xf numFmtId="164" fontId="0" fillId="0" borderId="0" xfId="0"/>
    <xf numFmtId="164" fontId="6" fillId="0" borderId="0" xfId="3" applyNumberFormat="1" applyFont="1"/>
    <xf numFmtId="164" fontId="3" fillId="0" borderId="0" xfId="0" applyFont="1"/>
    <xf numFmtId="164" fontId="20" fillId="0" borderId="0" xfId="0" applyFont="1"/>
    <xf numFmtId="164" fontId="4" fillId="0" borderId="0" xfId="20"/>
    <xf numFmtId="49" fontId="12" fillId="0" borderId="1" xfId="5">
      <alignment horizontal="right" wrapText="1"/>
    </xf>
    <xf numFmtId="166" fontId="0" fillId="0" borderId="0" xfId="0" applyNumberFormat="1"/>
    <xf numFmtId="164" fontId="0" fillId="0" borderId="0" xfId="0" applyAlignment="1">
      <alignment horizontal="right"/>
    </xf>
    <xf numFmtId="164" fontId="0" fillId="11" borderId="0" xfId="0" applyFill="1"/>
    <xf numFmtId="0" fontId="4" fillId="12" borderId="11" xfId="2" applyFill="1" applyBorder="1">
      <alignment horizontal="right" wrapText="1"/>
    </xf>
    <xf numFmtId="0" fontId="4" fillId="12" borderId="1" xfId="2" applyFill="1">
      <alignment horizontal="right" wrapText="1"/>
    </xf>
    <xf numFmtId="164" fontId="0" fillId="13" borderId="0" xfId="0" applyFill="1"/>
    <xf numFmtId="167" fontId="0" fillId="14" borderId="0" xfId="0" applyNumberFormat="1" applyFill="1"/>
    <xf numFmtId="164" fontId="0" fillId="15" borderId="0" xfId="0" applyFill="1"/>
    <xf numFmtId="164" fontId="23" fillId="16" borderId="12" xfId="0" applyFont="1" applyFill="1" applyBorder="1"/>
    <xf numFmtId="164" fontId="0" fillId="11" borderId="12" xfId="0" applyFill="1" applyBorder="1"/>
    <xf numFmtId="0" fontId="0" fillId="0" borderId="0" xfId="0" applyNumberFormat="1" applyAlignment="1">
      <alignment horizontal="left" vertical="top" wrapText="1"/>
    </xf>
    <xf numFmtId="164" fontId="4" fillId="0" borderId="0" xfId="20" applyAlignment="1">
      <alignment horizontal="center"/>
    </xf>
    <xf numFmtId="164" fontId="4" fillId="0" borderId="0" xfId="20" applyAlignment="1">
      <alignment horizontal="center" vertical="center" textRotation="90"/>
    </xf>
  </cellXfs>
  <cellStyles count="30">
    <cellStyle name="Bad" xfId="10" builtinId="27" customBuiltin="1"/>
    <cellStyle name="Calculation" xfId="14" builtinId="22" customBuiltin="1"/>
    <cellStyle name="Check Cell" xfId="16"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2" builtinId="20" customBuiltin="1"/>
    <cellStyle name="Linked Cell" xfId="15" builtinId="24" customBuiltin="1"/>
    <cellStyle name="Neutral" xfId="11" builtinId="28" customBuiltin="1"/>
    <cellStyle name="Normal" xfId="0" builtinId="0" customBuiltin="1"/>
    <cellStyle name="Note" xfId="17" builtinId="10" customBuiltin="1"/>
    <cellStyle name="Output" xfId="13" builtinId="21" customBuiltin="1"/>
    <cellStyle name="Percent" xfId="1" builtinId="5" customBuiltin="1"/>
    <cellStyle name="Smart Bold" xfId="20" xr:uid="{00000000-0005-0000-0000-000010000000}"/>
    <cellStyle name="Smart Forecast" xfId="21" xr:uid="{00000000-0005-0000-0000-000011000000}"/>
    <cellStyle name="Smart General" xfId="22" xr:uid="{00000000-0005-0000-0000-000012000000}"/>
    <cellStyle name="Smart Highlight" xfId="23" xr:uid="{00000000-0005-0000-0000-000013000000}"/>
    <cellStyle name="Smart Percent" xfId="24" xr:uid="{00000000-0005-0000-0000-000014000000}"/>
    <cellStyle name="Smart Source" xfId="25" xr:uid="{00000000-0005-0000-0000-000015000000}"/>
    <cellStyle name="Smart Subtitle 1" xfId="2" xr:uid="{00000000-0005-0000-0000-000016000000}"/>
    <cellStyle name="Smart Subtitle 2" xfId="26" xr:uid="{00000000-0005-0000-0000-000017000000}"/>
    <cellStyle name="Smart Subtitle 3" xfId="27" xr:uid="{00000000-0005-0000-0000-000018000000}"/>
    <cellStyle name="Smart Subtotal" xfId="28" xr:uid="{00000000-0005-0000-0000-000019000000}"/>
    <cellStyle name="Smart Title" xfId="3" xr:uid="{00000000-0005-0000-0000-00001A000000}"/>
    <cellStyle name="Smart Total" xfId="29" xr:uid="{00000000-0005-0000-0000-00001B000000}"/>
    <cellStyle name="Title" xfId="4" builtinId="15" customBuiltin="1"/>
    <cellStyle name="Total" xfId="19"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335280</xdr:colOff>
          <xdr:row>7</xdr:row>
          <xdr:rowOff>190500</xdr:rowOff>
        </xdr:from>
        <xdr:to>
          <xdr:col>13</xdr:col>
          <xdr:colOff>182880</xdr:colOff>
          <xdr:row>10</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51</xdr:row>
          <xdr:rowOff>30480</xdr:rowOff>
        </xdr:from>
        <xdr:to>
          <xdr:col>13</xdr:col>
          <xdr:colOff>396240</xdr:colOff>
          <xdr:row>54</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373380</xdr:colOff>
          <xdr:row>8</xdr:row>
          <xdr:rowOff>68580</xdr:rowOff>
        </xdr:from>
        <xdr:to>
          <xdr:col>13</xdr:col>
          <xdr:colOff>53340</xdr:colOff>
          <xdr:row>10</xdr:row>
          <xdr:rowOff>68580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xdr:colOff>
          <xdr:row>52</xdr:row>
          <xdr:rowOff>68580</xdr:rowOff>
        </xdr:from>
        <xdr:to>
          <xdr:col>12</xdr:col>
          <xdr:colOff>320040</xdr:colOff>
          <xdr:row>54</xdr:row>
          <xdr:rowOff>144780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56"/>
  <sheetViews>
    <sheetView showGridLines="0" tabSelected="1" zoomScale="110" workbookViewId="0">
      <selection activeCell="B2" sqref="B2"/>
    </sheetView>
  </sheetViews>
  <sheetFormatPr defaultColWidth="9" defaultRowHeight="11.4" x14ac:dyDescent="0.2"/>
  <cols>
    <col min="1" max="1" width="4" customWidth="1"/>
    <col min="2" max="2" width="17.125" customWidth="1"/>
    <col min="3" max="3" width="14.5" customWidth="1"/>
    <col min="4" max="4" width="12.375" bestFit="1" customWidth="1"/>
    <col min="5" max="5" width="12.375" customWidth="1"/>
    <col min="6" max="6" width="3.375" customWidth="1"/>
    <col min="7" max="7" width="8.375" bestFit="1" customWidth="1"/>
    <col min="8" max="8" width="13" customWidth="1"/>
    <col min="9" max="9" width="11" customWidth="1"/>
    <col min="10" max="10" width="10.25" customWidth="1"/>
    <col min="11" max="11" width="10.75" customWidth="1"/>
    <col min="12" max="12" width="10.125" customWidth="1"/>
    <col min="13" max="13" width="9.5" customWidth="1"/>
    <col min="14" max="14" width="10.75" customWidth="1"/>
    <col min="15" max="15" width="11.375" customWidth="1"/>
    <col min="16" max="16" width="12.625" customWidth="1"/>
    <col min="17" max="17" width="13.625" customWidth="1"/>
    <col min="18" max="18" width="15.375" customWidth="1"/>
  </cols>
  <sheetData>
    <row r="1" spans="1:10" ht="13.2" x14ac:dyDescent="0.25">
      <c r="A1" s="2" t="e">
        <f>#REF!</f>
        <v>#REF!</v>
      </c>
    </row>
    <row r="2" spans="1:10" ht="13.2" x14ac:dyDescent="0.25">
      <c r="A2" s="2" t="e">
        <f>#REF!</f>
        <v>#REF!</v>
      </c>
    </row>
    <row r="3" spans="1:10" ht="13.2" x14ac:dyDescent="0.25">
      <c r="A3" s="2"/>
    </row>
    <row r="4" spans="1:10" ht="13.2" x14ac:dyDescent="0.25">
      <c r="A4" s="2" t="s">
        <v>0</v>
      </c>
    </row>
    <row r="7" spans="1:10" ht="18" x14ac:dyDescent="0.35">
      <c r="B7" s="1" t="s">
        <v>1</v>
      </c>
    </row>
    <row r="8" spans="1:10" ht="17.55" customHeight="1" x14ac:dyDescent="0.2"/>
    <row r="9" spans="1:10" ht="8.1" customHeight="1" x14ac:dyDescent="0.2"/>
    <row r="10" spans="1:10" ht="22.35" customHeight="1" x14ac:dyDescent="0.2">
      <c r="B10" s="16" t="s">
        <v>12</v>
      </c>
      <c r="C10" s="16"/>
      <c r="D10" s="16"/>
      <c r="E10" s="16"/>
      <c r="F10" s="16"/>
      <c r="G10" s="16"/>
      <c r="H10" s="16"/>
      <c r="I10" s="16"/>
      <c r="J10" s="16"/>
    </row>
    <row r="11" spans="1:10" ht="9.6" customHeight="1" x14ac:dyDescent="0.2">
      <c r="B11" s="16"/>
      <c r="C11" s="16"/>
      <c r="D11" s="16"/>
      <c r="E11" s="16"/>
      <c r="F11" s="16"/>
      <c r="G11" s="16"/>
      <c r="H11" s="16"/>
      <c r="I11" s="16"/>
      <c r="J11" s="16"/>
    </row>
    <row r="12" spans="1:10" x14ac:dyDescent="0.2">
      <c r="B12" s="16"/>
      <c r="C12" s="16"/>
      <c r="D12" s="16"/>
      <c r="E12" s="16"/>
      <c r="F12" s="16"/>
      <c r="G12" s="16"/>
      <c r="H12" s="16"/>
      <c r="I12" s="16"/>
      <c r="J12" s="16"/>
    </row>
    <row r="13" spans="1:10" x14ac:dyDescent="0.2">
      <c r="B13" s="16"/>
      <c r="C13" s="16"/>
      <c r="D13" s="16"/>
      <c r="E13" s="16"/>
      <c r="F13" s="16"/>
      <c r="G13" s="16"/>
      <c r="H13" s="16"/>
      <c r="I13" s="16"/>
      <c r="J13" s="16"/>
    </row>
    <row r="14" spans="1:10" x14ac:dyDescent="0.2">
      <c r="B14" s="16"/>
      <c r="C14" s="16"/>
      <c r="D14" s="16"/>
      <c r="E14" s="16"/>
      <c r="F14" s="16"/>
      <c r="G14" s="16"/>
      <c r="H14" s="16"/>
      <c r="I14" s="16"/>
      <c r="J14" s="16"/>
    </row>
    <row r="15" spans="1:10" x14ac:dyDescent="0.2">
      <c r="B15" s="16"/>
      <c r="C15" s="16"/>
      <c r="D15" s="16"/>
      <c r="E15" s="16"/>
      <c r="F15" s="16"/>
      <c r="G15" s="16"/>
      <c r="H15" s="16"/>
      <c r="I15" s="16"/>
      <c r="J15" s="16"/>
    </row>
    <row r="16" spans="1:10" x14ac:dyDescent="0.2">
      <c r="B16" s="16"/>
      <c r="C16" s="16"/>
      <c r="D16" s="16"/>
      <c r="E16" s="16"/>
      <c r="F16" s="16"/>
      <c r="G16" s="16"/>
      <c r="H16" s="16"/>
      <c r="I16" s="16"/>
      <c r="J16" s="16"/>
    </row>
    <row r="17" spans="2:18" x14ac:dyDescent="0.2">
      <c r="B17" s="16"/>
      <c r="C17" s="16"/>
      <c r="D17" s="16"/>
      <c r="E17" s="16"/>
      <c r="F17" s="16"/>
      <c r="G17" s="16"/>
      <c r="H17" s="16"/>
      <c r="I17" s="16"/>
      <c r="J17" s="16"/>
    </row>
    <row r="18" spans="2:18" ht="12" x14ac:dyDescent="0.25">
      <c r="B18" s="4" t="s">
        <v>4</v>
      </c>
      <c r="C18" s="7" t="s">
        <v>6</v>
      </c>
      <c r="D18" s="8">
        <v>10</v>
      </c>
      <c r="G18" s="4" t="s">
        <v>5</v>
      </c>
      <c r="O18" t="s">
        <v>11</v>
      </c>
      <c r="P18" s="13"/>
    </row>
    <row r="19" spans="2:18" ht="12" x14ac:dyDescent="0.25">
      <c r="B19" s="4"/>
      <c r="C19" s="7"/>
      <c r="G19" s="4"/>
    </row>
    <row r="20" spans="2:18" ht="12" x14ac:dyDescent="0.25">
      <c r="B20" s="3"/>
      <c r="G20" s="17" t="s">
        <v>2</v>
      </c>
      <c r="H20" s="17"/>
      <c r="I20" s="17"/>
      <c r="J20" s="17"/>
      <c r="K20" s="17"/>
      <c r="L20" s="17"/>
      <c r="M20" s="17"/>
      <c r="N20" s="17"/>
      <c r="O20" s="17"/>
      <c r="P20" s="17"/>
      <c r="Q20" s="17"/>
    </row>
    <row r="21" spans="2:18" ht="12.6" thickBot="1" x14ac:dyDescent="0.3">
      <c r="B21" s="5" t="s">
        <v>3</v>
      </c>
      <c r="C21" s="5" t="s">
        <v>2</v>
      </c>
      <c r="H21" s="10">
        <v>100</v>
      </c>
      <c r="I21" s="10">
        <v>110</v>
      </c>
      <c r="J21" s="10">
        <v>120</v>
      </c>
      <c r="K21" s="10">
        <v>130</v>
      </c>
      <c r="L21" s="10">
        <v>140</v>
      </c>
      <c r="M21" s="10">
        <v>150</v>
      </c>
      <c r="N21" s="10">
        <v>160</v>
      </c>
      <c r="O21" s="10">
        <v>170</v>
      </c>
      <c r="P21" s="10">
        <v>180</v>
      </c>
      <c r="Q21" s="10">
        <v>190</v>
      </c>
      <c r="R21" s="10">
        <v>200</v>
      </c>
    </row>
    <row r="22" spans="2:18" ht="12" x14ac:dyDescent="0.25">
      <c r="B22">
        <v>400</v>
      </c>
      <c r="C22" s="6">
        <v>100</v>
      </c>
      <c r="G22" s="9">
        <v>400</v>
      </c>
      <c r="H22" s="11">
        <f t="shared" ref="H22" si="0">$G22*H21</f>
        <v>40000</v>
      </c>
      <c r="I22" s="11">
        <f t="shared" ref="I22" si="1">$G22*I21</f>
        <v>44000</v>
      </c>
      <c r="J22" s="11">
        <f t="shared" ref="J22" si="2">$G22*J21</f>
        <v>48000</v>
      </c>
      <c r="K22" s="11">
        <f t="shared" ref="K22" si="3">$G22*K21</f>
        <v>52000</v>
      </c>
      <c r="L22" s="11">
        <f t="shared" ref="L22" si="4">$G22*L21</f>
        <v>56000</v>
      </c>
      <c r="M22" s="11">
        <f t="shared" ref="M22" si="5">$G22*M21</f>
        <v>60000</v>
      </c>
      <c r="N22" s="11">
        <f t="shared" ref="N22" si="6">$G22*N21</f>
        <v>64000</v>
      </c>
      <c r="O22" s="11">
        <f t="shared" ref="O22" si="7">$G22*O21</f>
        <v>68000</v>
      </c>
      <c r="P22" s="11">
        <f t="shared" ref="P22" si="8">$G22*P21</f>
        <v>72000</v>
      </c>
      <c r="Q22" s="11">
        <f t="shared" ref="Q22" si="9">$G22*Q21</f>
        <v>76000</v>
      </c>
      <c r="R22" s="11">
        <f t="shared" ref="R22" si="10">$G22*R21</f>
        <v>80000</v>
      </c>
    </row>
    <row r="23" spans="2:18" ht="12" x14ac:dyDescent="0.25">
      <c r="B23">
        <v>410</v>
      </c>
      <c r="C23" s="6">
        <f>C22+$D$18</f>
        <v>110</v>
      </c>
      <c r="F23" s="18" t="s">
        <v>3</v>
      </c>
      <c r="G23" s="9">
        <v>410</v>
      </c>
      <c r="H23" s="11">
        <f>$G23*H21</f>
        <v>41000</v>
      </c>
      <c r="I23" s="11">
        <f t="shared" ref="I23:R23" si="11">$G23*I21</f>
        <v>45100</v>
      </c>
      <c r="J23" s="11">
        <f t="shared" si="11"/>
        <v>49200</v>
      </c>
      <c r="K23" s="11">
        <f t="shared" si="11"/>
        <v>53300</v>
      </c>
      <c r="L23" s="11">
        <f t="shared" si="11"/>
        <v>57400</v>
      </c>
      <c r="M23" s="11">
        <f t="shared" si="11"/>
        <v>61500</v>
      </c>
      <c r="N23" s="11">
        <f t="shared" si="11"/>
        <v>65600</v>
      </c>
      <c r="O23" s="11">
        <f t="shared" si="11"/>
        <v>69700</v>
      </c>
      <c r="P23" s="11">
        <f t="shared" si="11"/>
        <v>73800</v>
      </c>
      <c r="Q23" s="11">
        <f t="shared" si="11"/>
        <v>77900</v>
      </c>
      <c r="R23" s="11">
        <f t="shared" si="11"/>
        <v>82000</v>
      </c>
    </row>
    <row r="24" spans="2:18" ht="12" x14ac:dyDescent="0.25">
      <c r="B24">
        <v>420</v>
      </c>
      <c r="C24" s="6">
        <f t="shared" ref="C24:C32" si="12">C23+$D$18</f>
        <v>120</v>
      </c>
      <c r="F24" s="18"/>
      <c r="G24" s="9">
        <v>420</v>
      </c>
      <c r="H24" s="11">
        <f>$G24*H21</f>
        <v>42000</v>
      </c>
      <c r="I24" s="11">
        <f t="shared" ref="I24:R24" si="13">$G24*I21</f>
        <v>46200</v>
      </c>
      <c r="J24" s="11">
        <f t="shared" si="13"/>
        <v>50400</v>
      </c>
      <c r="K24" s="11">
        <f t="shared" si="13"/>
        <v>54600</v>
      </c>
      <c r="L24" s="11">
        <f t="shared" si="13"/>
        <v>58800</v>
      </c>
      <c r="M24" s="11">
        <f t="shared" si="13"/>
        <v>63000</v>
      </c>
      <c r="N24" s="11">
        <f t="shared" si="13"/>
        <v>67200</v>
      </c>
      <c r="O24" s="11">
        <f t="shared" si="13"/>
        <v>71400</v>
      </c>
      <c r="P24" s="11">
        <f t="shared" si="13"/>
        <v>75600</v>
      </c>
      <c r="Q24" s="11">
        <f t="shared" si="13"/>
        <v>79800</v>
      </c>
      <c r="R24" s="11">
        <f t="shared" si="13"/>
        <v>84000</v>
      </c>
    </row>
    <row r="25" spans="2:18" ht="12" x14ac:dyDescent="0.25">
      <c r="B25">
        <v>430</v>
      </c>
      <c r="C25" s="6">
        <f t="shared" si="12"/>
        <v>130</v>
      </c>
      <c r="F25" s="18"/>
      <c r="G25" s="9">
        <v>430</v>
      </c>
      <c r="H25" s="11">
        <f>$G25*H21</f>
        <v>43000</v>
      </c>
      <c r="I25" s="11">
        <f t="shared" ref="I25:R25" si="14">$G25*I21</f>
        <v>47300</v>
      </c>
      <c r="J25" s="11">
        <f t="shared" si="14"/>
        <v>51600</v>
      </c>
      <c r="K25" s="11">
        <f t="shared" si="14"/>
        <v>55900</v>
      </c>
      <c r="L25" s="11">
        <f t="shared" si="14"/>
        <v>60200</v>
      </c>
      <c r="M25" s="11">
        <f t="shared" si="14"/>
        <v>64500</v>
      </c>
      <c r="N25" s="11">
        <f t="shared" si="14"/>
        <v>68800</v>
      </c>
      <c r="O25" s="11">
        <f t="shared" si="14"/>
        <v>73100</v>
      </c>
      <c r="P25" s="11">
        <f t="shared" si="14"/>
        <v>77400</v>
      </c>
      <c r="Q25" s="11">
        <f t="shared" si="14"/>
        <v>81700</v>
      </c>
      <c r="R25" s="11">
        <f t="shared" si="14"/>
        <v>86000</v>
      </c>
    </row>
    <row r="26" spans="2:18" ht="12" x14ac:dyDescent="0.25">
      <c r="B26">
        <v>440</v>
      </c>
      <c r="C26" s="6">
        <f t="shared" si="12"/>
        <v>140</v>
      </c>
      <c r="F26" s="18"/>
      <c r="G26" s="9">
        <v>440</v>
      </c>
      <c r="H26" s="11">
        <f>$G26*H21</f>
        <v>44000</v>
      </c>
      <c r="I26" s="11">
        <f t="shared" ref="I26:R26" si="15">$G26*I21</f>
        <v>48400</v>
      </c>
      <c r="J26" s="11">
        <f t="shared" si="15"/>
        <v>52800</v>
      </c>
      <c r="K26" s="11">
        <f t="shared" si="15"/>
        <v>57200</v>
      </c>
      <c r="L26" s="11">
        <f t="shared" si="15"/>
        <v>61600</v>
      </c>
      <c r="M26" s="11">
        <f t="shared" si="15"/>
        <v>66000</v>
      </c>
      <c r="N26" s="11">
        <f t="shared" si="15"/>
        <v>70400</v>
      </c>
      <c r="O26" s="11">
        <f t="shared" si="15"/>
        <v>74800</v>
      </c>
      <c r="P26" s="11">
        <f t="shared" si="15"/>
        <v>79200</v>
      </c>
      <c r="Q26" s="11">
        <f t="shared" si="15"/>
        <v>83600</v>
      </c>
      <c r="R26" s="11">
        <f t="shared" si="15"/>
        <v>88000</v>
      </c>
    </row>
    <row r="27" spans="2:18" ht="12" x14ac:dyDescent="0.25">
      <c r="B27">
        <v>450</v>
      </c>
      <c r="C27" s="6">
        <f t="shared" si="12"/>
        <v>150</v>
      </c>
      <c r="F27" s="18"/>
      <c r="G27" s="9">
        <v>450</v>
      </c>
      <c r="H27" s="11">
        <f>$G27*H21</f>
        <v>45000</v>
      </c>
      <c r="I27" s="11">
        <f t="shared" ref="I27:R27" si="16">$G27*I21</f>
        <v>49500</v>
      </c>
      <c r="J27" s="11">
        <f t="shared" si="16"/>
        <v>54000</v>
      </c>
      <c r="K27" s="11">
        <f t="shared" si="16"/>
        <v>58500</v>
      </c>
      <c r="L27" s="11">
        <f t="shared" si="16"/>
        <v>63000</v>
      </c>
      <c r="M27" s="11">
        <f t="shared" si="16"/>
        <v>67500</v>
      </c>
      <c r="N27" s="11">
        <f t="shared" si="16"/>
        <v>72000</v>
      </c>
      <c r="O27" s="11">
        <f t="shared" si="16"/>
        <v>76500</v>
      </c>
      <c r="P27" s="11">
        <f t="shared" si="16"/>
        <v>81000</v>
      </c>
      <c r="Q27" s="11">
        <f t="shared" si="16"/>
        <v>85500</v>
      </c>
      <c r="R27" s="11">
        <f t="shared" si="16"/>
        <v>90000</v>
      </c>
    </row>
    <row r="28" spans="2:18" ht="12" x14ac:dyDescent="0.25">
      <c r="B28">
        <v>460</v>
      </c>
      <c r="C28" s="6">
        <f t="shared" si="12"/>
        <v>160</v>
      </c>
      <c r="F28" s="18"/>
      <c r="G28" s="9">
        <v>460</v>
      </c>
      <c r="H28" s="11">
        <f>$G28*H21</f>
        <v>46000</v>
      </c>
      <c r="I28" s="11">
        <f t="shared" ref="I28:R28" si="17">$G28*I21</f>
        <v>50600</v>
      </c>
      <c r="J28" s="11">
        <f t="shared" si="17"/>
        <v>55200</v>
      </c>
      <c r="K28" s="11">
        <f t="shared" si="17"/>
        <v>59800</v>
      </c>
      <c r="L28" s="11">
        <f t="shared" si="17"/>
        <v>64400</v>
      </c>
      <c r="M28" s="11">
        <f t="shared" si="17"/>
        <v>69000</v>
      </c>
      <c r="N28" s="11">
        <f t="shared" si="17"/>
        <v>73600</v>
      </c>
      <c r="O28" s="11">
        <f t="shared" si="17"/>
        <v>78200</v>
      </c>
      <c r="P28" s="11">
        <f t="shared" si="17"/>
        <v>82800</v>
      </c>
      <c r="Q28" s="11">
        <f t="shared" si="17"/>
        <v>87400</v>
      </c>
      <c r="R28" s="11">
        <f t="shared" si="17"/>
        <v>92000</v>
      </c>
    </row>
    <row r="29" spans="2:18" ht="12" x14ac:dyDescent="0.25">
      <c r="B29">
        <v>470</v>
      </c>
      <c r="C29" s="6">
        <f t="shared" si="12"/>
        <v>170</v>
      </c>
      <c r="F29" s="18"/>
      <c r="G29" s="9">
        <v>470</v>
      </c>
      <c r="H29" s="11">
        <f>$G29*H21</f>
        <v>47000</v>
      </c>
      <c r="I29" s="11">
        <f t="shared" ref="I29:R29" si="18">$G29*I21</f>
        <v>51700</v>
      </c>
      <c r="J29" s="11">
        <f t="shared" si="18"/>
        <v>56400</v>
      </c>
      <c r="K29" s="11">
        <f t="shared" si="18"/>
        <v>61100</v>
      </c>
      <c r="L29" s="11">
        <f t="shared" si="18"/>
        <v>65800</v>
      </c>
      <c r="M29" s="11">
        <f t="shared" si="18"/>
        <v>70500</v>
      </c>
      <c r="N29" s="11">
        <f t="shared" si="18"/>
        <v>75200</v>
      </c>
      <c r="O29" s="11">
        <f t="shared" si="18"/>
        <v>79900</v>
      </c>
      <c r="P29" s="11">
        <f t="shared" si="18"/>
        <v>84600</v>
      </c>
      <c r="Q29" s="11">
        <f t="shared" si="18"/>
        <v>89300</v>
      </c>
      <c r="R29" s="11">
        <f t="shared" si="18"/>
        <v>94000</v>
      </c>
    </row>
    <row r="30" spans="2:18" ht="12" x14ac:dyDescent="0.25">
      <c r="B30">
        <v>480</v>
      </c>
      <c r="C30" s="6">
        <f t="shared" si="12"/>
        <v>180</v>
      </c>
      <c r="F30" s="18"/>
      <c r="G30" s="9">
        <v>480</v>
      </c>
      <c r="H30" s="11">
        <f>$G30*H21</f>
        <v>48000</v>
      </c>
      <c r="I30" s="11">
        <f t="shared" ref="I30:R30" si="19">$G30*I21</f>
        <v>52800</v>
      </c>
      <c r="J30" s="11">
        <f t="shared" si="19"/>
        <v>57600</v>
      </c>
      <c r="K30" s="11">
        <f t="shared" si="19"/>
        <v>62400</v>
      </c>
      <c r="L30" s="11">
        <f t="shared" si="19"/>
        <v>67200</v>
      </c>
      <c r="M30" s="11">
        <f t="shared" si="19"/>
        <v>72000</v>
      </c>
      <c r="N30" s="11">
        <f t="shared" si="19"/>
        <v>76800</v>
      </c>
      <c r="O30" s="11">
        <f t="shared" si="19"/>
        <v>81600</v>
      </c>
      <c r="P30" s="11">
        <f t="shared" si="19"/>
        <v>86400</v>
      </c>
      <c r="Q30" s="11">
        <f t="shared" si="19"/>
        <v>91200</v>
      </c>
      <c r="R30" s="11">
        <f t="shared" si="19"/>
        <v>96000</v>
      </c>
    </row>
    <row r="31" spans="2:18" ht="12" x14ac:dyDescent="0.25">
      <c r="B31">
        <v>490</v>
      </c>
      <c r="C31" s="6">
        <f t="shared" si="12"/>
        <v>190</v>
      </c>
      <c r="F31" s="18"/>
      <c r="G31" s="9">
        <v>490</v>
      </c>
      <c r="H31" s="11">
        <f>$G31*H21</f>
        <v>49000</v>
      </c>
      <c r="I31" s="11">
        <f t="shared" ref="I31:R31" si="20">$G31*I21</f>
        <v>53900</v>
      </c>
      <c r="J31" s="11">
        <f t="shared" si="20"/>
        <v>58800</v>
      </c>
      <c r="K31" s="11">
        <f t="shared" si="20"/>
        <v>63700</v>
      </c>
      <c r="L31" s="11">
        <f t="shared" si="20"/>
        <v>68600</v>
      </c>
      <c r="M31" s="11">
        <f t="shared" si="20"/>
        <v>73500</v>
      </c>
      <c r="N31" s="11">
        <f t="shared" si="20"/>
        <v>78400</v>
      </c>
      <c r="O31" s="11">
        <f t="shared" si="20"/>
        <v>83300</v>
      </c>
      <c r="P31" s="11">
        <f t="shared" si="20"/>
        <v>88200</v>
      </c>
      <c r="Q31" s="11">
        <f t="shared" si="20"/>
        <v>93100</v>
      </c>
      <c r="R31" s="11">
        <f t="shared" si="20"/>
        <v>98000</v>
      </c>
    </row>
    <row r="32" spans="2:18" ht="12" x14ac:dyDescent="0.25">
      <c r="B32">
        <v>500</v>
      </c>
      <c r="C32" s="6">
        <f t="shared" si="12"/>
        <v>200</v>
      </c>
      <c r="F32" s="18"/>
      <c r="G32" s="9">
        <v>500</v>
      </c>
      <c r="H32" s="11">
        <f>$G32*H21</f>
        <v>50000</v>
      </c>
      <c r="I32" s="11">
        <f t="shared" ref="I32:R32" si="21">$G32*I21</f>
        <v>55000</v>
      </c>
      <c r="J32" s="11">
        <f t="shared" si="21"/>
        <v>60000</v>
      </c>
      <c r="K32" s="11">
        <f t="shared" si="21"/>
        <v>65000</v>
      </c>
      <c r="L32" s="11">
        <f t="shared" si="21"/>
        <v>70000</v>
      </c>
      <c r="M32" s="11">
        <f t="shared" si="21"/>
        <v>75000</v>
      </c>
      <c r="N32" s="11">
        <f t="shared" si="21"/>
        <v>80000</v>
      </c>
      <c r="O32" s="11">
        <f t="shared" si="21"/>
        <v>85000</v>
      </c>
      <c r="P32" s="11">
        <f t="shared" si="21"/>
        <v>90000</v>
      </c>
      <c r="Q32" s="11">
        <f t="shared" si="21"/>
        <v>95000</v>
      </c>
      <c r="R32" s="13">
        <f t="shared" si="21"/>
        <v>100000</v>
      </c>
    </row>
    <row r="33" spans="2:18" ht="12" x14ac:dyDescent="0.25">
      <c r="B33">
        <v>510</v>
      </c>
      <c r="F33" s="18"/>
      <c r="G33" s="9">
        <v>510</v>
      </c>
      <c r="H33" s="11">
        <f>$G33*H21</f>
        <v>51000</v>
      </c>
      <c r="I33" s="11">
        <f t="shared" ref="I33:R33" si="22">$G33*I21</f>
        <v>56100</v>
      </c>
      <c r="J33" s="11">
        <f t="shared" si="22"/>
        <v>61200</v>
      </c>
      <c r="K33" s="11">
        <f t="shared" si="22"/>
        <v>66300</v>
      </c>
      <c r="L33" s="11">
        <f t="shared" si="22"/>
        <v>71400</v>
      </c>
      <c r="M33" s="11">
        <f t="shared" si="22"/>
        <v>76500</v>
      </c>
      <c r="N33" s="11">
        <f t="shared" si="22"/>
        <v>81600</v>
      </c>
      <c r="O33" s="11">
        <f t="shared" si="22"/>
        <v>86700</v>
      </c>
      <c r="P33" s="11">
        <f t="shared" si="22"/>
        <v>91800</v>
      </c>
      <c r="Q33" s="11">
        <f t="shared" si="22"/>
        <v>96900</v>
      </c>
      <c r="R33" s="13">
        <f t="shared" si="22"/>
        <v>102000</v>
      </c>
    </row>
    <row r="34" spans="2:18" ht="12" x14ac:dyDescent="0.25">
      <c r="B34">
        <v>520</v>
      </c>
      <c r="F34" s="18"/>
      <c r="G34" s="9">
        <v>520</v>
      </c>
      <c r="H34" s="11">
        <f>$G34*H21</f>
        <v>52000</v>
      </c>
      <c r="I34" s="11">
        <f t="shared" ref="I34:R34" si="23">$G34*I21</f>
        <v>57200</v>
      </c>
      <c r="J34" s="11">
        <f t="shared" si="23"/>
        <v>62400</v>
      </c>
      <c r="K34" s="11">
        <f t="shared" si="23"/>
        <v>67600</v>
      </c>
      <c r="L34" s="11">
        <f t="shared" si="23"/>
        <v>72800</v>
      </c>
      <c r="M34" s="11">
        <f t="shared" si="23"/>
        <v>78000</v>
      </c>
      <c r="N34" s="11">
        <f t="shared" si="23"/>
        <v>83200</v>
      </c>
      <c r="O34" s="11">
        <f t="shared" si="23"/>
        <v>88400</v>
      </c>
      <c r="P34" s="11">
        <f t="shared" si="23"/>
        <v>93600</v>
      </c>
      <c r="Q34" s="11">
        <f t="shared" si="23"/>
        <v>98800</v>
      </c>
      <c r="R34" s="13">
        <f t="shared" si="23"/>
        <v>104000</v>
      </c>
    </row>
    <row r="35" spans="2:18" ht="12" x14ac:dyDescent="0.25">
      <c r="B35">
        <v>530</v>
      </c>
      <c r="F35" s="18"/>
      <c r="G35" s="9">
        <v>530</v>
      </c>
      <c r="H35" s="11">
        <f>$G35*H21</f>
        <v>53000</v>
      </c>
      <c r="I35" s="11">
        <f t="shared" ref="I35:R35" si="24">$G35*I21</f>
        <v>58300</v>
      </c>
      <c r="J35" s="11">
        <f t="shared" si="24"/>
        <v>63600</v>
      </c>
      <c r="K35" s="11">
        <f t="shared" si="24"/>
        <v>68900</v>
      </c>
      <c r="L35" s="11">
        <f t="shared" si="24"/>
        <v>74200</v>
      </c>
      <c r="M35" s="11">
        <f t="shared" si="24"/>
        <v>79500</v>
      </c>
      <c r="N35" s="11">
        <f t="shared" si="24"/>
        <v>84800</v>
      </c>
      <c r="O35" s="11">
        <f t="shared" si="24"/>
        <v>90100</v>
      </c>
      <c r="P35" s="11">
        <f t="shared" si="24"/>
        <v>95400</v>
      </c>
      <c r="Q35" s="13">
        <f t="shared" si="24"/>
        <v>100700</v>
      </c>
      <c r="R35" s="13">
        <f t="shared" si="24"/>
        <v>106000</v>
      </c>
    </row>
    <row r="36" spans="2:18" ht="12" x14ac:dyDescent="0.25">
      <c r="B36">
        <v>540</v>
      </c>
      <c r="F36" s="18"/>
      <c r="G36" s="9">
        <v>540</v>
      </c>
      <c r="H36" s="11">
        <f t="shared" ref="H36:P36" si="25">$G36*H21</f>
        <v>54000</v>
      </c>
      <c r="I36" s="11">
        <f t="shared" si="25"/>
        <v>59400</v>
      </c>
      <c r="J36" s="11">
        <f t="shared" si="25"/>
        <v>64800</v>
      </c>
      <c r="K36" s="11">
        <f t="shared" si="25"/>
        <v>70200</v>
      </c>
      <c r="L36" s="11">
        <f t="shared" si="25"/>
        <v>75600</v>
      </c>
      <c r="M36" s="11">
        <f t="shared" si="25"/>
        <v>81000</v>
      </c>
      <c r="N36" s="11">
        <f t="shared" si="25"/>
        <v>86400</v>
      </c>
      <c r="O36" s="11">
        <f t="shared" si="25"/>
        <v>91800</v>
      </c>
      <c r="P36" s="11">
        <f t="shared" si="25"/>
        <v>97200</v>
      </c>
      <c r="Q36" s="13">
        <f>$G36*Q21</f>
        <v>102600</v>
      </c>
      <c r="R36" s="13">
        <f>$G36*R21</f>
        <v>108000</v>
      </c>
    </row>
    <row r="37" spans="2:18" ht="12" x14ac:dyDescent="0.25">
      <c r="B37">
        <v>550</v>
      </c>
      <c r="F37" s="18"/>
      <c r="G37" s="9">
        <v>550</v>
      </c>
      <c r="H37" s="11">
        <f>$G37*H21</f>
        <v>55000</v>
      </c>
      <c r="I37" s="11">
        <f t="shared" ref="I37:R37" si="26">$G37*I21</f>
        <v>60500</v>
      </c>
      <c r="J37" s="11">
        <f t="shared" si="26"/>
        <v>66000</v>
      </c>
      <c r="K37" s="11">
        <f t="shared" si="26"/>
        <v>71500</v>
      </c>
      <c r="L37" s="11">
        <f t="shared" si="26"/>
        <v>77000</v>
      </c>
      <c r="M37" s="11">
        <f t="shared" si="26"/>
        <v>82500</v>
      </c>
      <c r="N37" s="11">
        <f t="shared" si="26"/>
        <v>88000</v>
      </c>
      <c r="O37" s="11">
        <f t="shared" si="26"/>
        <v>93500</v>
      </c>
      <c r="P37" s="11">
        <f t="shared" si="26"/>
        <v>99000</v>
      </c>
      <c r="Q37" s="13">
        <f t="shared" si="26"/>
        <v>104500</v>
      </c>
      <c r="R37" s="13">
        <f t="shared" si="26"/>
        <v>110000</v>
      </c>
    </row>
    <row r="38" spans="2:18" ht="12" x14ac:dyDescent="0.25">
      <c r="B38">
        <v>560</v>
      </c>
      <c r="F38" s="18"/>
      <c r="G38" s="9">
        <v>560</v>
      </c>
      <c r="H38" s="11">
        <f>$G38*H21</f>
        <v>56000</v>
      </c>
      <c r="I38" s="11">
        <f t="shared" ref="I38:R38" si="27">$G38*I21</f>
        <v>61600</v>
      </c>
      <c r="J38" s="11">
        <f t="shared" si="27"/>
        <v>67200</v>
      </c>
      <c r="K38" s="11">
        <f t="shared" si="27"/>
        <v>72800</v>
      </c>
      <c r="L38" s="11">
        <f t="shared" si="27"/>
        <v>78400</v>
      </c>
      <c r="M38" s="11">
        <f t="shared" si="27"/>
        <v>84000</v>
      </c>
      <c r="N38" s="11">
        <f t="shared" si="27"/>
        <v>89600</v>
      </c>
      <c r="O38" s="11">
        <f t="shared" si="27"/>
        <v>95200</v>
      </c>
      <c r="P38" s="13">
        <f t="shared" si="27"/>
        <v>100800</v>
      </c>
      <c r="Q38" s="13">
        <f t="shared" si="27"/>
        <v>106400</v>
      </c>
      <c r="R38" s="13">
        <f t="shared" si="27"/>
        <v>112000</v>
      </c>
    </row>
    <row r="39" spans="2:18" ht="12" x14ac:dyDescent="0.25">
      <c r="B39">
        <v>570</v>
      </c>
      <c r="F39" s="18"/>
      <c r="G39" s="9">
        <v>570</v>
      </c>
      <c r="H39" s="11">
        <f>$G39*H21</f>
        <v>57000</v>
      </c>
      <c r="I39" s="11">
        <f t="shared" ref="I39:R39" si="28">$G39*I21</f>
        <v>62700</v>
      </c>
      <c r="J39" s="11">
        <f t="shared" si="28"/>
        <v>68400</v>
      </c>
      <c r="K39" s="11">
        <f t="shared" si="28"/>
        <v>74100</v>
      </c>
      <c r="L39" s="11">
        <f t="shared" si="28"/>
        <v>79800</v>
      </c>
      <c r="M39" s="11">
        <f t="shared" si="28"/>
        <v>85500</v>
      </c>
      <c r="N39" s="11">
        <f t="shared" si="28"/>
        <v>91200</v>
      </c>
      <c r="O39" s="11">
        <f t="shared" si="28"/>
        <v>96900</v>
      </c>
      <c r="P39" s="13">
        <f t="shared" si="28"/>
        <v>102600</v>
      </c>
      <c r="Q39" s="13">
        <f t="shared" si="28"/>
        <v>108300</v>
      </c>
      <c r="R39" s="13">
        <f t="shared" si="28"/>
        <v>114000</v>
      </c>
    </row>
    <row r="40" spans="2:18" ht="12" x14ac:dyDescent="0.25">
      <c r="B40">
        <v>580</v>
      </c>
      <c r="F40" s="18"/>
      <c r="G40" s="9">
        <v>580</v>
      </c>
      <c r="H40" s="11">
        <f>$G40*H21</f>
        <v>58000</v>
      </c>
      <c r="I40" s="11">
        <f t="shared" ref="I40:R40" si="29">$G40*I21</f>
        <v>63800</v>
      </c>
      <c r="J40" s="11">
        <f t="shared" si="29"/>
        <v>69600</v>
      </c>
      <c r="K40" s="11">
        <f t="shared" si="29"/>
        <v>75400</v>
      </c>
      <c r="L40" s="11">
        <f t="shared" si="29"/>
        <v>81200</v>
      </c>
      <c r="M40" s="11">
        <f t="shared" si="29"/>
        <v>87000</v>
      </c>
      <c r="N40" s="11">
        <f t="shared" si="29"/>
        <v>92800</v>
      </c>
      <c r="O40" s="11">
        <f t="shared" si="29"/>
        <v>98600</v>
      </c>
      <c r="P40" s="13">
        <f t="shared" si="29"/>
        <v>104400</v>
      </c>
      <c r="Q40" s="13">
        <f t="shared" si="29"/>
        <v>110200</v>
      </c>
      <c r="R40" s="13">
        <f t="shared" si="29"/>
        <v>116000</v>
      </c>
    </row>
    <row r="41" spans="2:18" ht="12" x14ac:dyDescent="0.25">
      <c r="B41">
        <v>590</v>
      </c>
      <c r="F41" s="18"/>
      <c r="G41" s="9">
        <v>590</v>
      </c>
      <c r="H41" s="11">
        <f>$G41*H21</f>
        <v>59000</v>
      </c>
      <c r="I41" s="11">
        <f t="shared" ref="I41:R41" si="30">$G41*I21</f>
        <v>64900</v>
      </c>
      <c r="J41" s="11">
        <f t="shared" si="30"/>
        <v>70800</v>
      </c>
      <c r="K41" s="11">
        <f t="shared" si="30"/>
        <v>76700</v>
      </c>
      <c r="L41" s="11">
        <f t="shared" si="30"/>
        <v>82600</v>
      </c>
      <c r="M41" s="11">
        <f t="shared" si="30"/>
        <v>88500</v>
      </c>
      <c r="N41" s="11">
        <f t="shared" si="30"/>
        <v>94400</v>
      </c>
      <c r="O41" s="13">
        <f t="shared" si="30"/>
        <v>100300</v>
      </c>
      <c r="P41" s="13">
        <f t="shared" si="30"/>
        <v>106200</v>
      </c>
      <c r="Q41" s="13">
        <f t="shared" si="30"/>
        <v>112100</v>
      </c>
      <c r="R41" s="13">
        <f t="shared" si="30"/>
        <v>118000</v>
      </c>
    </row>
    <row r="42" spans="2:18" ht="12" x14ac:dyDescent="0.25">
      <c r="B42">
        <v>600</v>
      </c>
      <c r="F42" s="18"/>
      <c r="G42" s="9">
        <v>600</v>
      </c>
      <c r="H42" s="11">
        <f>$G42*H21</f>
        <v>60000</v>
      </c>
      <c r="I42" s="11">
        <f t="shared" ref="I42:R42" si="31">$G42*I21</f>
        <v>66000</v>
      </c>
      <c r="J42" s="11">
        <f t="shared" si="31"/>
        <v>72000</v>
      </c>
      <c r="K42" s="11">
        <f t="shared" si="31"/>
        <v>78000</v>
      </c>
      <c r="L42" s="11">
        <f t="shared" si="31"/>
        <v>84000</v>
      </c>
      <c r="M42" s="11">
        <f t="shared" si="31"/>
        <v>90000</v>
      </c>
      <c r="N42" s="11">
        <f t="shared" si="31"/>
        <v>96000</v>
      </c>
      <c r="O42" s="13">
        <f t="shared" si="31"/>
        <v>102000</v>
      </c>
      <c r="P42" s="13">
        <f t="shared" si="31"/>
        <v>108000</v>
      </c>
      <c r="Q42" s="13">
        <f t="shared" si="31"/>
        <v>114000</v>
      </c>
      <c r="R42" s="13">
        <f t="shared" si="31"/>
        <v>120000</v>
      </c>
    </row>
    <row r="48" spans="2:18" ht="18" x14ac:dyDescent="0.35">
      <c r="B48" s="1" t="s">
        <v>7</v>
      </c>
    </row>
    <row r="49" spans="2:4" ht="17.55" customHeight="1" x14ac:dyDescent="0.2"/>
    <row r="50" spans="2:4" x14ac:dyDescent="0.2">
      <c r="B50" t="s">
        <v>13</v>
      </c>
    </row>
    <row r="51" spans="2:4" ht="22.35" customHeight="1" x14ac:dyDescent="0.2">
      <c r="B51" t="s">
        <v>14</v>
      </c>
    </row>
    <row r="52" spans="2:4" ht="9.6" customHeight="1" x14ac:dyDescent="0.2"/>
    <row r="54" spans="2:4" x14ac:dyDescent="0.2">
      <c r="B54" s="14" t="s">
        <v>8</v>
      </c>
      <c r="C54" s="14"/>
      <c r="D54" s="15">
        <v>17325000</v>
      </c>
    </row>
    <row r="55" spans="2:4" x14ac:dyDescent="0.2">
      <c r="B55" s="14" t="s">
        <v>9</v>
      </c>
      <c r="C55" s="14"/>
      <c r="D55" s="15">
        <v>231</v>
      </c>
    </row>
    <row r="56" spans="2:4" x14ac:dyDescent="0.2">
      <c r="B56" s="14" t="s">
        <v>10</v>
      </c>
      <c r="C56" s="14"/>
      <c r="D56" s="15">
        <v>75000</v>
      </c>
    </row>
  </sheetData>
  <mergeCells count="3">
    <mergeCell ref="B10:J17"/>
    <mergeCell ref="G20:Q20"/>
    <mergeCell ref="F23:F42"/>
  </mergeCells>
  <pageMargins left="0.7" right="0.7" top="0.75" bottom="0.75" header="0.3" footer="0.3"/>
  <pageSetup scale="5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d_to_answer_1">
                <anchor moveWithCells="1" sizeWithCells="1">
                  <from>
                    <xdr:col>10</xdr:col>
                    <xdr:colOff>335280</xdr:colOff>
                    <xdr:row>7</xdr:row>
                    <xdr:rowOff>190500</xdr:rowOff>
                  </from>
                  <to>
                    <xdr:col>13</xdr:col>
                    <xdr:colOff>182880</xdr:colOff>
                    <xdr:row>10</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hisWorkbook.send_to_answer_2">
                <anchor moveWithCells="1" sizeWithCells="1">
                  <from>
                    <xdr:col>11</xdr:col>
                    <xdr:colOff>53340</xdr:colOff>
                    <xdr:row>51</xdr:row>
                    <xdr:rowOff>30480</xdr:rowOff>
                  </from>
                  <to>
                    <xdr:col>13</xdr:col>
                    <xdr:colOff>396240</xdr:colOff>
                    <xdr:row>54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R56"/>
  <sheetViews>
    <sheetView showGridLines="0" workbookViewId="0">
      <selection activeCell="P38" sqref="P38"/>
    </sheetView>
  </sheetViews>
  <sheetFormatPr defaultColWidth="9" defaultRowHeight="11.4" x14ac:dyDescent="0.2"/>
  <cols>
    <col min="2" max="2" width="17.125" customWidth="1"/>
    <col min="3" max="3" width="26.125" bestFit="1" customWidth="1"/>
    <col min="4" max="4" width="12.375" bestFit="1" customWidth="1"/>
    <col min="5" max="5" width="12.375" customWidth="1"/>
    <col min="6" max="6" width="3.375" customWidth="1"/>
    <col min="7" max="7" width="8.375" bestFit="1" customWidth="1"/>
    <col min="8" max="14" width="7.625" bestFit="1" customWidth="1"/>
    <col min="15" max="18" width="8.625" bestFit="1" customWidth="1"/>
  </cols>
  <sheetData>
    <row r="1" spans="1:10" ht="13.2" x14ac:dyDescent="0.25">
      <c r="A1" s="2" t="e">
        <f>#REF!</f>
        <v>#REF!</v>
      </c>
    </row>
    <row r="2" spans="1:10" ht="13.2" x14ac:dyDescent="0.25">
      <c r="A2" s="2" t="e">
        <f>#REF!</f>
        <v>#REF!</v>
      </c>
    </row>
    <row r="3" spans="1:10" ht="13.2" x14ac:dyDescent="0.25">
      <c r="A3" s="2" t="e">
        <f>#REF!</f>
        <v>#REF!</v>
      </c>
    </row>
    <row r="4" spans="1:10" ht="13.2" x14ac:dyDescent="0.25">
      <c r="A4" s="2" t="s">
        <v>0</v>
      </c>
    </row>
    <row r="7" spans="1:10" ht="18" x14ac:dyDescent="0.35">
      <c r="B7" s="1" t="s">
        <v>1</v>
      </c>
    </row>
    <row r="8" spans="1:10" ht="17.55" customHeight="1" x14ac:dyDescent="0.2"/>
    <row r="9" spans="1:10" ht="8.1" customHeight="1" x14ac:dyDescent="0.2"/>
    <row r="10" spans="1:10" ht="22.35" customHeight="1" x14ac:dyDescent="0.2">
      <c r="B10" s="16" t="s">
        <v>15</v>
      </c>
      <c r="C10" s="16"/>
      <c r="D10" s="16"/>
      <c r="E10" s="16"/>
      <c r="F10" s="16"/>
      <c r="G10" s="16"/>
      <c r="H10" s="16"/>
      <c r="I10" s="16"/>
      <c r="J10" s="16"/>
    </row>
    <row r="11" spans="1:10" ht="9.6" customHeight="1" x14ac:dyDescent="0.2">
      <c r="B11" s="16"/>
      <c r="C11" s="16"/>
      <c r="D11" s="16"/>
      <c r="E11" s="16"/>
      <c r="F11" s="16"/>
      <c r="G11" s="16"/>
      <c r="H11" s="16"/>
      <c r="I11" s="16"/>
      <c r="J11" s="16"/>
    </row>
    <row r="12" spans="1:10" x14ac:dyDescent="0.2">
      <c r="B12" s="16"/>
      <c r="C12" s="16"/>
      <c r="D12" s="16"/>
      <c r="E12" s="16"/>
      <c r="F12" s="16"/>
      <c r="G12" s="16"/>
      <c r="H12" s="16"/>
      <c r="I12" s="16"/>
      <c r="J12" s="16"/>
    </row>
    <row r="13" spans="1:10" x14ac:dyDescent="0.2">
      <c r="B13" s="16"/>
      <c r="C13" s="16"/>
      <c r="D13" s="16"/>
      <c r="E13" s="16"/>
      <c r="F13" s="16"/>
      <c r="G13" s="16"/>
      <c r="H13" s="16"/>
      <c r="I13" s="16"/>
      <c r="J13" s="16"/>
    </row>
    <row r="14" spans="1:10" x14ac:dyDescent="0.2">
      <c r="B14" s="16"/>
      <c r="C14" s="16"/>
      <c r="D14" s="16"/>
      <c r="E14" s="16"/>
      <c r="F14" s="16"/>
      <c r="G14" s="16"/>
      <c r="H14" s="16"/>
      <c r="I14" s="16"/>
      <c r="J14" s="16"/>
    </row>
    <row r="15" spans="1:10" x14ac:dyDescent="0.2">
      <c r="B15" s="16"/>
      <c r="C15" s="16"/>
      <c r="D15" s="16"/>
      <c r="E15" s="16"/>
      <c r="F15" s="16"/>
      <c r="G15" s="16"/>
      <c r="H15" s="16"/>
      <c r="I15" s="16"/>
      <c r="J15" s="16"/>
    </row>
    <row r="16" spans="1:10" x14ac:dyDescent="0.2">
      <c r="B16" s="16"/>
      <c r="C16" s="16"/>
      <c r="D16" s="16"/>
      <c r="E16" s="16"/>
      <c r="F16" s="16"/>
      <c r="G16" s="16"/>
      <c r="H16" s="16"/>
      <c r="I16" s="16"/>
      <c r="J16" s="16"/>
    </row>
    <row r="17" spans="2:18" x14ac:dyDescent="0.2">
      <c r="B17" s="16"/>
      <c r="C17" s="16"/>
      <c r="D17" s="16"/>
      <c r="E17" s="16"/>
      <c r="F17" s="16"/>
      <c r="G17" s="16"/>
      <c r="H17" s="16"/>
      <c r="I17" s="16"/>
      <c r="J17" s="16"/>
    </row>
    <row r="18" spans="2:18" ht="12" x14ac:dyDescent="0.25">
      <c r="B18" s="4" t="s">
        <v>4</v>
      </c>
      <c r="C18" s="7" t="s">
        <v>6</v>
      </c>
      <c r="D18" s="8">
        <v>10</v>
      </c>
      <c r="G18" s="4" t="s">
        <v>5</v>
      </c>
      <c r="O18" t="s">
        <v>11</v>
      </c>
      <c r="P18" s="13"/>
    </row>
    <row r="19" spans="2:18" ht="12" x14ac:dyDescent="0.25">
      <c r="B19" s="4"/>
      <c r="C19" s="7"/>
      <c r="G19" s="4"/>
    </row>
    <row r="20" spans="2:18" ht="12" x14ac:dyDescent="0.25">
      <c r="B20" s="3"/>
      <c r="G20" s="17" t="s">
        <v>2</v>
      </c>
      <c r="H20" s="17"/>
      <c r="I20" s="17"/>
      <c r="J20" s="17"/>
      <c r="K20" s="17"/>
      <c r="L20" s="17"/>
      <c r="M20" s="17"/>
      <c r="N20" s="17"/>
      <c r="O20" s="17"/>
      <c r="P20" s="17"/>
      <c r="Q20" s="17"/>
    </row>
    <row r="21" spans="2:18" ht="12.6" thickBot="1" x14ac:dyDescent="0.3">
      <c r="B21" s="5" t="s">
        <v>3</v>
      </c>
      <c r="C21" s="5" t="s">
        <v>2</v>
      </c>
      <c r="H21" s="10">
        <v>100</v>
      </c>
      <c r="I21" s="10">
        <v>110</v>
      </c>
      <c r="J21" s="10">
        <v>120</v>
      </c>
      <c r="K21" s="10">
        <v>130</v>
      </c>
      <c r="L21" s="10">
        <v>140</v>
      </c>
      <c r="M21" s="10">
        <v>150</v>
      </c>
      <c r="N21" s="10">
        <v>160</v>
      </c>
      <c r="O21" s="10">
        <v>170</v>
      </c>
      <c r="P21" s="10">
        <v>180</v>
      </c>
      <c r="Q21" s="10">
        <v>190</v>
      </c>
      <c r="R21" s="10">
        <v>200</v>
      </c>
    </row>
    <row r="22" spans="2:18" ht="12" x14ac:dyDescent="0.25">
      <c r="B22">
        <v>400</v>
      </c>
      <c r="C22" s="6">
        <v>100</v>
      </c>
      <c r="G22" s="9">
        <v>400</v>
      </c>
      <c r="H22" s="12">
        <f>$G22*H$21</f>
        <v>40000</v>
      </c>
      <c r="I22" s="11">
        <f t="shared" ref="I22:R37" si="0">$G22*I$21</f>
        <v>44000</v>
      </c>
      <c r="J22" s="11">
        <f t="shared" si="0"/>
        <v>48000</v>
      </c>
      <c r="K22" s="11">
        <f t="shared" si="0"/>
        <v>52000</v>
      </c>
      <c r="L22" s="11">
        <f t="shared" si="0"/>
        <v>56000</v>
      </c>
      <c r="M22" s="11">
        <f t="shared" si="0"/>
        <v>60000</v>
      </c>
      <c r="N22" s="11">
        <f t="shared" si="0"/>
        <v>64000</v>
      </c>
      <c r="O22" s="11">
        <f t="shared" si="0"/>
        <v>68000</v>
      </c>
      <c r="P22" s="11">
        <f t="shared" si="0"/>
        <v>72000</v>
      </c>
      <c r="Q22" s="11">
        <f t="shared" si="0"/>
        <v>76000</v>
      </c>
      <c r="R22" s="11">
        <f t="shared" si="0"/>
        <v>80000</v>
      </c>
    </row>
    <row r="23" spans="2:18" ht="12" x14ac:dyDescent="0.25">
      <c r="B23">
        <v>410</v>
      </c>
      <c r="C23" s="6">
        <f>C22+$D$18</f>
        <v>110</v>
      </c>
      <c r="F23" s="18" t="s">
        <v>3</v>
      </c>
      <c r="G23" s="9">
        <v>410</v>
      </c>
      <c r="H23" s="11">
        <f t="shared" ref="H23:R38" si="1">$G23*H$21</f>
        <v>41000</v>
      </c>
      <c r="I23" s="11">
        <f t="shared" si="0"/>
        <v>45100</v>
      </c>
      <c r="J23" s="11">
        <f t="shared" si="0"/>
        <v>49200</v>
      </c>
      <c r="K23" s="11">
        <f t="shared" si="0"/>
        <v>53300</v>
      </c>
      <c r="L23" s="11">
        <f t="shared" si="0"/>
        <v>57400</v>
      </c>
      <c r="M23" s="11">
        <f t="shared" si="0"/>
        <v>61500</v>
      </c>
      <c r="N23" s="11">
        <f t="shared" si="0"/>
        <v>65600</v>
      </c>
      <c r="O23" s="11">
        <f t="shared" si="0"/>
        <v>69700</v>
      </c>
      <c r="P23" s="11">
        <f t="shared" si="0"/>
        <v>73800</v>
      </c>
      <c r="Q23" s="11">
        <f t="shared" si="0"/>
        <v>77900</v>
      </c>
      <c r="R23" s="11">
        <f t="shared" si="0"/>
        <v>82000</v>
      </c>
    </row>
    <row r="24" spans="2:18" ht="12" x14ac:dyDescent="0.25">
      <c r="B24">
        <v>420</v>
      </c>
      <c r="C24" s="6">
        <f t="shared" ref="C24:C32" si="2">C23+$D$18</f>
        <v>120</v>
      </c>
      <c r="F24" s="18"/>
      <c r="G24" s="9">
        <v>420</v>
      </c>
      <c r="H24" s="11">
        <f t="shared" si="1"/>
        <v>42000</v>
      </c>
      <c r="I24" s="11">
        <f t="shared" si="0"/>
        <v>46200</v>
      </c>
      <c r="J24" s="11">
        <f t="shared" si="0"/>
        <v>50400</v>
      </c>
      <c r="K24" s="11">
        <f t="shared" si="0"/>
        <v>54600</v>
      </c>
      <c r="L24" s="11">
        <f t="shared" si="0"/>
        <v>58800</v>
      </c>
      <c r="M24" s="11">
        <f t="shared" si="0"/>
        <v>63000</v>
      </c>
      <c r="N24" s="11">
        <f t="shared" si="0"/>
        <v>67200</v>
      </c>
      <c r="O24" s="11">
        <f t="shared" si="0"/>
        <v>71400</v>
      </c>
      <c r="P24" s="11">
        <f t="shared" si="0"/>
        <v>75600</v>
      </c>
      <c r="Q24" s="11">
        <f t="shared" si="0"/>
        <v>79800</v>
      </c>
      <c r="R24" s="11">
        <f t="shared" si="0"/>
        <v>84000</v>
      </c>
    </row>
    <row r="25" spans="2:18" ht="12" x14ac:dyDescent="0.25">
      <c r="B25">
        <v>430</v>
      </c>
      <c r="C25" s="6">
        <f t="shared" si="2"/>
        <v>130</v>
      </c>
      <c r="F25" s="18"/>
      <c r="G25" s="9">
        <v>430</v>
      </c>
      <c r="H25" s="11">
        <f t="shared" si="1"/>
        <v>43000</v>
      </c>
      <c r="I25" s="11">
        <f t="shared" si="0"/>
        <v>47300</v>
      </c>
      <c r="J25" s="11">
        <f t="shared" si="0"/>
        <v>51600</v>
      </c>
      <c r="K25" s="11">
        <f t="shared" si="0"/>
        <v>55900</v>
      </c>
      <c r="L25" s="11">
        <f t="shared" si="0"/>
        <v>60200</v>
      </c>
      <c r="M25" s="11">
        <f t="shared" si="0"/>
        <v>64500</v>
      </c>
      <c r="N25" s="11">
        <f t="shared" si="0"/>
        <v>68800</v>
      </c>
      <c r="O25" s="11">
        <f t="shared" si="0"/>
        <v>73100</v>
      </c>
      <c r="P25" s="11">
        <f t="shared" si="0"/>
        <v>77400</v>
      </c>
      <c r="Q25" s="11">
        <f t="shared" si="0"/>
        <v>81700</v>
      </c>
      <c r="R25" s="11">
        <f t="shared" si="0"/>
        <v>86000</v>
      </c>
    </row>
    <row r="26" spans="2:18" ht="12" x14ac:dyDescent="0.25">
      <c r="B26">
        <v>440</v>
      </c>
      <c r="C26" s="6">
        <f t="shared" si="2"/>
        <v>140</v>
      </c>
      <c r="F26" s="18"/>
      <c r="G26" s="9">
        <v>440</v>
      </c>
      <c r="H26" s="11">
        <f t="shared" si="1"/>
        <v>44000</v>
      </c>
      <c r="I26" s="11">
        <f t="shared" si="0"/>
        <v>48400</v>
      </c>
      <c r="J26" s="11">
        <f t="shared" si="0"/>
        <v>52800</v>
      </c>
      <c r="K26" s="11">
        <f t="shared" si="0"/>
        <v>57200</v>
      </c>
      <c r="L26" s="11">
        <f t="shared" si="0"/>
        <v>61600</v>
      </c>
      <c r="M26" s="11">
        <f t="shared" si="0"/>
        <v>66000</v>
      </c>
      <c r="N26" s="11">
        <f t="shared" si="0"/>
        <v>70400</v>
      </c>
      <c r="O26" s="11">
        <f t="shared" si="0"/>
        <v>74800</v>
      </c>
      <c r="P26" s="11">
        <f t="shared" si="0"/>
        <v>79200</v>
      </c>
      <c r="Q26" s="11">
        <f t="shared" si="0"/>
        <v>83600</v>
      </c>
      <c r="R26" s="11">
        <f t="shared" si="0"/>
        <v>88000</v>
      </c>
    </row>
    <row r="27" spans="2:18" ht="12" x14ac:dyDescent="0.25">
      <c r="B27">
        <v>450</v>
      </c>
      <c r="C27" s="6">
        <f t="shared" si="2"/>
        <v>150</v>
      </c>
      <c r="F27" s="18"/>
      <c r="G27" s="9">
        <v>450</v>
      </c>
      <c r="H27" s="11">
        <f t="shared" si="1"/>
        <v>45000</v>
      </c>
      <c r="I27" s="11">
        <f t="shared" si="0"/>
        <v>49500</v>
      </c>
      <c r="J27" s="11">
        <f t="shared" si="0"/>
        <v>54000</v>
      </c>
      <c r="K27" s="11">
        <f t="shared" si="0"/>
        <v>58500</v>
      </c>
      <c r="L27" s="11">
        <f t="shared" si="0"/>
        <v>63000</v>
      </c>
      <c r="M27" s="11">
        <f t="shared" si="0"/>
        <v>67500</v>
      </c>
      <c r="N27" s="11">
        <f t="shared" si="0"/>
        <v>72000</v>
      </c>
      <c r="O27" s="11">
        <f t="shared" si="0"/>
        <v>76500</v>
      </c>
      <c r="P27" s="11">
        <f t="shared" si="0"/>
        <v>81000</v>
      </c>
      <c r="Q27" s="11">
        <f t="shared" si="0"/>
        <v>85500</v>
      </c>
      <c r="R27" s="11">
        <f t="shared" si="0"/>
        <v>90000</v>
      </c>
    </row>
    <row r="28" spans="2:18" ht="12" x14ac:dyDescent="0.25">
      <c r="B28">
        <v>460</v>
      </c>
      <c r="C28" s="6">
        <f t="shared" si="2"/>
        <v>160</v>
      </c>
      <c r="F28" s="18"/>
      <c r="G28" s="9">
        <v>460</v>
      </c>
      <c r="H28" s="11">
        <f t="shared" si="1"/>
        <v>46000</v>
      </c>
      <c r="I28" s="11">
        <f t="shared" si="0"/>
        <v>50600</v>
      </c>
      <c r="J28" s="11">
        <f t="shared" si="0"/>
        <v>55200</v>
      </c>
      <c r="K28" s="11">
        <f t="shared" si="0"/>
        <v>59800</v>
      </c>
      <c r="L28" s="11">
        <f t="shared" si="0"/>
        <v>64400</v>
      </c>
      <c r="M28" s="11">
        <f t="shared" si="0"/>
        <v>69000</v>
      </c>
      <c r="N28" s="11">
        <f t="shared" si="0"/>
        <v>73600</v>
      </c>
      <c r="O28" s="11">
        <f t="shared" si="0"/>
        <v>78200</v>
      </c>
      <c r="P28" s="11">
        <f t="shared" si="0"/>
        <v>82800</v>
      </c>
      <c r="Q28" s="11">
        <f t="shared" si="0"/>
        <v>87400</v>
      </c>
      <c r="R28" s="11">
        <f t="shared" si="0"/>
        <v>92000</v>
      </c>
    </row>
    <row r="29" spans="2:18" ht="12" x14ac:dyDescent="0.25">
      <c r="B29">
        <v>470</v>
      </c>
      <c r="C29" s="6">
        <f t="shared" si="2"/>
        <v>170</v>
      </c>
      <c r="F29" s="18"/>
      <c r="G29" s="9">
        <v>470</v>
      </c>
      <c r="H29" s="11">
        <f t="shared" si="1"/>
        <v>47000</v>
      </c>
      <c r="I29" s="11">
        <f t="shared" si="0"/>
        <v>51700</v>
      </c>
      <c r="J29" s="11">
        <f t="shared" si="0"/>
        <v>56400</v>
      </c>
      <c r="K29" s="11">
        <f t="shared" si="0"/>
        <v>61100</v>
      </c>
      <c r="L29" s="11">
        <f t="shared" si="0"/>
        <v>65800</v>
      </c>
      <c r="M29" s="11">
        <f t="shared" si="0"/>
        <v>70500</v>
      </c>
      <c r="N29" s="11">
        <f t="shared" si="0"/>
        <v>75200</v>
      </c>
      <c r="O29" s="11">
        <f t="shared" si="0"/>
        <v>79900</v>
      </c>
      <c r="P29" s="11">
        <f t="shared" si="0"/>
        <v>84600</v>
      </c>
      <c r="Q29" s="11">
        <f t="shared" si="0"/>
        <v>89300</v>
      </c>
      <c r="R29" s="11">
        <f t="shared" si="0"/>
        <v>94000</v>
      </c>
    </row>
    <row r="30" spans="2:18" ht="12" x14ac:dyDescent="0.25">
      <c r="B30">
        <v>480</v>
      </c>
      <c r="C30" s="6">
        <f t="shared" si="2"/>
        <v>180</v>
      </c>
      <c r="F30" s="18"/>
      <c r="G30" s="9">
        <v>480</v>
      </c>
      <c r="H30" s="11">
        <f t="shared" si="1"/>
        <v>48000</v>
      </c>
      <c r="I30" s="11">
        <f t="shared" si="0"/>
        <v>52800</v>
      </c>
      <c r="J30" s="11">
        <f t="shared" si="0"/>
        <v>57600</v>
      </c>
      <c r="K30" s="11">
        <f t="shared" si="0"/>
        <v>62400</v>
      </c>
      <c r="L30" s="11">
        <f t="shared" si="0"/>
        <v>67200</v>
      </c>
      <c r="M30" s="11">
        <f t="shared" si="0"/>
        <v>72000</v>
      </c>
      <c r="N30" s="11">
        <f t="shared" si="0"/>
        <v>76800</v>
      </c>
      <c r="O30" s="11">
        <f t="shared" si="0"/>
        <v>81600</v>
      </c>
      <c r="P30" s="11">
        <f t="shared" si="0"/>
        <v>86400</v>
      </c>
      <c r="Q30" s="11">
        <f t="shared" si="0"/>
        <v>91200</v>
      </c>
      <c r="R30" s="11">
        <f t="shared" si="0"/>
        <v>96000</v>
      </c>
    </row>
    <row r="31" spans="2:18" ht="12" x14ac:dyDescent="0.25">
      <c r="B31">
        <v>490</v>
      </c>
      <c r="C31" s="6">
        <f t="shared" si="2"/>
        <v>190</v>
      </c>
      <c r="F31" s="18"/>
      <c r="G31" s="9">
        <v>490</v>
      </c>
      <c r="H31" s="11">
        <f t="shared" si="1"/>
        <v>49000</v>
      </c>
      <c r="I31" s="11">
        <f t="shared" si="0"/>
        <v>53900</v>
      </c>
      <c r="J31" s="11">
        <f t="shared" si="0"/>
        <v>58800</v>
      </c>
      <c r="K31" s="11">
        <f t="shared" si="0"/>
        <v>63700</v>
      </c>
      <c r="L31" s="11">
        <f t="shared" si="0"/>
        <v>68600</v>
      </c>
      <c r="M31" s="11">
        <f t="shared" si="0"/>
        <v>73500</v>
      </c>
      <c r="N31" s="11">
        <f t="shared" si="0"/>
        <v>78400</v>
      </c>
      <c r="O31" s="11">
        <f t="shared" si="0"/>
        <v>83300</v>
      </c>
      <c r="P31" s="11">
        <f t="shared" si="0"/>
        <v>88200</v>
      </c>
      <c r="Q31" s="11">
        <f t="shared" si="0"/>
        <v>93100</v>
      </c>
      <c r="R31" s="11">
        <f t="shared" si="0"/>
        <v>98000</v>
      </c>
    </row>
    <row r="32" spans="2:18" ht="12" x14ac:dyDescent="0.25">
      <c r="B32">
        <v>500</v>
      </c>
      <c r="C32" s="6">
        <f t="shared" si="2"/>
        <v>200</v>
      </c>
      <c r="F32" s="18"/>
      <c r="G32" s="9">
        <v>500</v>
      </c>
      <c r="H32" s="11">
        <f t="shared" si="1"/>
        <v>50000</v>
      </c>
      <c r="I32" s="11">
        <f t="shared" si="0"/>
        <v>55000</v>
      </c>
      <c r="J32" s="11">
        <f t="shared" si="0"/>
        <v>60000</v>
      </c>
      <c r="K32" s="11">
        <f t="shared" si="0"/>
        <v>65000</v>
      </c>
      <c r="L32" s="11">
        <f t="shared" si="0"/>
        <v>70000</v>
      </c>
      <c r="M32" s="11">
        <f t="shared" si="0"/>
        <v>75000</v>
      </c>
      <c r="N32" s="11">
        <f t="shared" si="0"/>
        <v>80000</v>
      </c>
      <c r="O32" s="11">
        <f t="shared" si="0"/>
        <v>85000</v>
      </c>
      <c r="P32" s="11">
        <f t="shared" si="0"/>
        <v>90000</v>
      </c>
      <c r="Q32" s="11">
        <f t="shared" si="0"/>
        <v>95000</v>
      </c>
      <c r="R32" s="13">
        <f t="shared" si="0"/>
        <v>100000</v>
      </c>
    </row>
    <row r="33" spans="2:18" ht="12" x14ac:dyDescent="0.25">
      <c r="B33">
        <v>510</v>
      </c>
      <c r="F33" s="18"/>
      <c r="G33" s="9">
        <v>510</v>
      </c>
      <c r="H33" s="11">
        <f t="shared" si="1"/>
        <v>51000</v>
      </c>
      <c r="I33" s="11">
        <f t="shared" si="0"/>
        <v>56100</v>
      </c>
      <c r="J33" s="11">
        <f t="shared" si="0"/>
        <v>61200</v>
      </c>
      <c r="K33" s="11">
        <f t="shared" si="0"/>
        <v>66300</v>
      </c>
      <c r="L33" s="11">
        <f t="shared" si="0"/>
        <v>71400</v>
      </c>
      <c r="M33" s="11">
        <f>Question_Ans!$G33*Question_Ans!M$21</f>
        <v>76500</v>
      </c>
      <c r="N33" s="11">
        <f t="shared" si="0"/>
        <v>81600</v>
      </c>
      <c r="O33" s="11">
        <f t="shared" si="0"/>
        <v>86700</v>
      </c>
      <c r="P33" s="11">
        <f t="shared" si="0"/>
        <v>91800</v>
      </c>
      <c r="Q33" s="11">
        <f t="shared" si="0"/>
        <v>96900</v>
      </c>
      <c r="R33" s="13">
        <f t="shared" si="0"/>
        <v>102000</v>
      </c>
    </row>
    <row r="34" spans="2:18" ht="12" x14ac:dyDescent="0.25">
      <c r="B34">
        <v>520</v>
      </c>
      <c r="F34" s="18"/>
      <c r="G34" s="9">
        <v>520</v>
      </c>
      <c r="H34" s="11">
        <f t="shared" si="1"/>
        <v>52000</v>
      </c>
      <c r="I34" s="11">
        <f t="shared" si="0"/>
        <v>57200</v>
      </c>
      <c r="J34" s="11">
        <f t="shared" si="0"/>
        <v>62400</v>
      </c>
      <c r="K34" s="11">
        <f t="shared" si="0"/>
        <v>67600</v>
      </c>
      <c r="L34" s="11">
        <f t="shared" si="0"/>
        <v>72800</v>
      </c>
      <c r="M34" s="11">
        <f t="shared" si="0"/>
        <v>78000</v>
      </c>
      <c r="N34" s="11">
        <f t="shared" si="0"/>
        <v>83200</v>
      </c>
      <c r="O34" s="11">
        <f t="shared" si="0"/>
        <v>88400</v>
      </c>
      <c r="P34" s="11">
        <f t="shared" si="0"/>
        <v>93600</v>
      </c>
      <c r="Q34" s="11">
        <f t="shared" si="0"/>
        <v>98800</v>
      </c>
      <c r="R34" s="13">
        <f t="shared" si="0"/>
        <v>104000</v>
      </c>
    </row>
    <row r="35" spans="2:18" ht="12" x14ac:dyDescent="0.25">
      <c r="B35">
        <v>530</v>
      </c>
      <c r="F35" s="18"/>
      <c r="G35" s="9">
        <v>530</v>
      </c>
      <c r="H35" s="11">
        <f t="shared" si="1"/>
        <v>53000</v>
      </c>
      <c r="I35" s="11">
        <f t="shared" si="0"/>
        <v>58300</v>
      </c>
      <c r="J35" s="11">
        <f t="shared" si="0"/>
        <v>63600</v>
      </c>
      <c r="K35" s="11">
        <f t="shared" si="0"/>
        <v>68900</v>
      </c>
      <c r="L35" s="11">
        <f t="shared" si="0"/>
        <v>74200</v>
      </c>
      <c r="M35" s="11">
        <f t="shared" si="0"/>
        <v>79500</v>
      </c>
      <c r="N35" s="11">
        <f t="shared" si="0"/>
        <v>84800</v>
      </c>
      <c r="O35" s="11">
        <f t="shared" si="0"/>
        <v>90100</v>
      </c>
      <c r="P35" s="11">
        <f t="shared" si="0"/>
        <v>95400</v>
      </c>
      <c r="Q35" s="13">
        <f t="shared" si="0"/>
        <v>100700</v>
      </c>
      <c r="R35" s="13">
        <f t="shared" si="0"/>
        <v>106000</v>
      </c>
    </row>
    <row r="36" spans="2:18" ht="12" x14ac:dyDescent="0.25">
      <c r="B36">
        <v>540</v>
      </c>
      <c r="F36" s="18"/>
      <c r="G36" s="9">
        <v>540</v>
      </c>
      <c r="H36" s="11">
        <f t="shared" si="1"/>
        <v>54000</v>
      </c>
      <c r="I36" s="11">
        <f t="shared" si="0"/>
        <v>59400</v>
      </c>
      <c r="J36" s="11">
        <f t="shared" si="0"/>
        <v>64800</v>
      </c>
      <c r="K36" s="11">
        <f t="shared" si="0"/>
        <v>70200</v>
      </c>
      <c r="L36" s="11">
        <f t="shared" si="0"/>
        <v>75600</v>
      </c>
      <c r="M36" s="11">
        <f t="shared" si="0"/>
        <v>81000</v>
      </c>
      <c r="N36" s="11">
        <f t="shared" si="0"/>
        <v>86400</v>
      </c>
      <c r="O36" s="11">
        <f t="shared" si="0"/>
        <v>91800</v>
      </c>
      <c r="P36" s="11">
        <f t="shared" si="0"/>
        <v>97200</v>
      </c>
      <c r="Q36" s="13">
        <f t="shared" si="0"/>
        <v>102600</v>
      </c>
      <c r="R36" s="13">
        <f t="shared" si="0"/>
        <v>108000</v>
      </c>
    </row>
    <row r="37" spans="2:18" ht="12" x14ac:dyDescent="0.25">
      <c r="B37">
        <v>550</v>
      </c>
      <c r="F37" s="18"/>
      <c r="G37" s="9">
        <v>550</v>
      </c>
      <c r="H37" s="11">
        <f t="shared" si="1"/>
        <v>55000</v>
      </c>
      <c r="I37" s="11">
        <f t="shared" si="0"/>
        <v>60500</v>
      </c>
      <c r="J37" s="11">
        <f t="shared" si="0"/>
        <v>66000</v>
      </c>
      <c r="K37" s="11">
        <f t="shared" si="0"/>
        <v>71500</v>
      </c>
      <c r="L37" s="11">
        <f t="shared" si="0"/>
        <v>77000</v>
      </c>
      <c r="M37" s="11">
        <f t="shared" si="0"/>
        <v>82500</v>
      </c>
      <c r="N37" s="11">
        <f t="shared" si="0"/>
        <v>88000</v>
      </c>
      <c r="O37" s="11">
        <f t="shared" si="0"/>
        <v>93500</v>
      </c>
      <c r="P37" s="11">
        <f t="shared" si="0"/>
        <v>99000</v>
      </c>
      <c r="Q37" s="13">
        <f t="shared" si="0"/>
        <v>104500</v>
      </c>
      <c r="R37" s="13">
        <f t="shared" si="0"/>
        <v>110000</v>
      </c>
    </row>
    <row r="38" spans="2:18" ht="12" x14ac:dyDescent="0.25">
      <c r="B38">
        <v>560</v>
      </c>
      <c r="F38" s="18"/>
      <c r="G38" s="9">
        <v>560</v>
      </c>
      <c r="H38" s="11">
        <f t="shared" si="1"/>
        <v>56000</v>
      </c>
      <c r="I38" s="11">
        <f t="shared" si="1"/>
        <v>61600</v>
      </c>
      <c r="J38" s="11">
        <f t="shared" si="1"/>
        <v>67200</v>
      </c>
      <c r="K38" s="11">
        <f t="shared" si="1"/>
        <v>72800</v>
      </c>
      <c r="L38" s="11">
        <f t="shared" si="1"/>
        <v>78400</v>
      </c>
      <c r="M38" s="11">
        <f t="shared" si="1"/>
        <v>84000</v>
      </c>
      <c r="N38" s="11">
        <f t="shared" si="1"/>
        <v>89600</v>
      </c>
      <c r="O38" s="11">
        <f t="shared" si="1"/>
        <v>95200</v>
      </c>
      <c r="P38" s="13">
        <f t="shared" si="1"/>
        <v>100800</v>
      </c>
      <c r="Q38" s="13">
        <f t="shared" si="1"/>
        <v>106400</v>
      </c>
      <c r="R38" s="13">
        <f t="shared" si="1"/>
        <v>112000</v>
      </c>
    </row>
    <row r="39" spans="2:18" ht="12" x14ac:dyDescent="0.25">
      <c r="B39">
        <v>570</v>
      </c>
      <c r="F39" s="18"/>
      <c r="G39" s="9">
        <v>570</v>
      </c>
      <c r="H39" s="11">
        <f t="shared" ref="H39:R42" si="3">$G39*H$21</f>
        <v>57000</v>
      </c>
      <c r="I39" s="11">
        <f t="shared" si="3"/>
        <v>62700</v>
      </c>
      <c r="J39" s="11">
        <f t="shared" si="3"/>
        <v>68400</v>
      </c>
      <c r="K39" s="11">
        <f t="shared" si="3"/>
        <v>74100</v>
      </c>
      <c r="L39" s="11">
        <f t="shared" si="3"/>
        <v>79800</v>
      </c>
      <c r="M39" s="11">
        <f t="shared" si="3"/>
        <v>85500</v>
      </c>
      <c r="N39" s="11">
        <f t="shared" si="3"/>
        <v>91200</v>
      </c>
      <c r="O39" s="11">
        <f t="shared" si="3"/>
        <v>96900</v>
      </c>
      <c r="P39" s="13">
        <f t="shared" si="3"/>
        <v>102600</v>
      </c>
      <c r="Q39" s="13">
        <f t="shared" si="3"/>
        <v>108300</v>
      </c>
      <c r="R39" s="13">
        <f t="shared" si="3"/>
        <v>114000</v>
      </c>
    </row>
    <row r="40" spans="2:18" ht="12" x14ac:dyDescent="0.25">
      <c r="B40">
        <v>580</v>
      </c>
      <c r="F40" s="18"/>
      <c r="G40" s="9">
        <v>580</v>
      </c>
      <c r="H40" s="11">
        <f t="shared" si="3"/>
        <v>58000</v>
      </c>
      <c r="I40" s="11">
        <f t="shared" si="3"/>
        <v>63800</v>
      </c>
      <c r="J40" s="11">
        <f t="shared" si="3"/>
        <v>69600</v>
      </c>
      <c r="K40" s="11">
        <f t="shared" si="3"/>
        <v>75400</v>
      </c>
      <c r="L40" s="11">
        <f t="shared" si="3"/>
        <v>81200</v>
      </c>
      <c r="M40" s="11">
        <f t="shared" si="3"/>
        <v>87000</v>
      </c>
      <c r="N40" s="11">
        <f t="shared" si="3"/>
        <v>92800</v>
      </c>
      <c r="O40" s="11">
        <f t="shared" si="3"/>
        <v>98600</v>
      </c>
      <c r="P40" s="13">
        <f t="shared" si="3"/>
        <v>104400</v>
      </c>
      <c r="Q40" s="13">
        <f t="shared" si="3"/>
        <v>110200</v>
      </c>
      <c r="R40" s="13">
        <f t="shared" si="3"/>
        <v>116000</v>
      </c>
    </row>
    <row r="41" spans="2:18" ht="12" x14ac:dyDescent="0.25">
      <c r="B41">
        <v>590</v>
      </c>
      <c r="F41" s="18"/>
      <c r="G41" s="9">
        <v>590</v>
      </c>
      <c r="H41" s="11">
        <f t="shared" si="3"/>
        <v>59000</v>
      </c>
      <c r="I41" s="11">
        <f t="shared" si="3"/>
        <v>64900</v>
      </c>
      <c r="J41" s="11">
        <f t="shared" si="3"/>
        <v>70800</v>
      </c>
      <c r="K41" s="11">
        <f t="shared" si="3"/>
        <v>76700</v>
      </c>
      <c r="L41" s="11">
        <f t="shared" si="3"/>
        <v>82600</v>
      </c>
      <c r="M41" s="11">
        <f t="shared" si="3"/>
        <v>88500</v>
      </c>
      <c r="N41" s="11">
        <f t="shared" si="3"/>
        <v>94400</v>
      </c>
      <c r="O41" s="13">
        <f t="shared" si="3"/>
        <v>100300</v>
      </c>
      <c r="P41" s="13">
        <f t="shared" si="3"/>
        <v>106200</v>
      </c>
      <c r="Q41" s="13">
        <f t="shared" si="3"/>
        <v>112100</v>
      </c>
      <c r="R41" s="13">
        <f t="shared" si="3"/>
        <v>118000</v>
      </c>
    </row>
    <row r="42" spans="2:18" ht="12" x14ac:dyDescent="0.25">
      <c r="B42">
        <v>600</v>
      </c>
      <c r="F42" s="18"/>
      <c r="G42" s="9">
        <v>600</v>
      </c>
      <c r="H42" s="11">
        <f t="shared" si="3"/>
        <v>60000</v>
      </c>
      <c r="I42" s="11">
        <f t="shared" si="3"/>
        <v>66000</v>
      </c>
      <c r="J42" s="11">
        <f t="shared" si="3"/>
        <v>72000</v>
      </c>
      <c r="K42" s="11">
        <f t="shared" si="3"/>
        <v>78000</v>
      </c>
      <c r="L42" s="11">
        <f t="shared" si="3"/>
        <v>84000</v>
      </c>
      <c r="M42" s="11">
        <f t="shared" si="3"/>
        <v>90000</v>
      </c>
      <c r="N42" s="11">
        <f t="shared" si="3"/>
        <v>96000</v>
      </c>
      <c r="O42" s="13">
        <f t="shared" si="3"/>
        <v>102000</v>
      </c>
      <c r="P42" s="13">
        <f t="shared" si="3"/>
        <v>108000</v>
      </c>
      <c r="Q42" s="13">
        <f t="shared" si="3"/>
        <v>114000</v>
      </c>
      <c r="R42" s="13">
        <f t="shared" si="3"/>
        <v>120000</v>
      </c>
    </row>
    <row r="48" spans="2:18" ht="18" x14ac:dyDescent="0.35">
      <c r="B48" s="1" t="s">
        <v>7</v>
      </c>
    </row>
    <row r="49" spans="2:4" ht="17.55" customHeight="1" x14ac:dyDescent="0.2"/>
    <row r="50" spans="2:4" x14ac:dyDescent="0.2">
      <c r="B50" t="s">
        <v>13</v>
      </c>
    </row>
    <row r="51" spans="2:4" ht="22.35" customHeight="1" x14ac:dyDescent="0.2">
      <c r="B51" t="s">
        <v>14</v>
      </c>
    </row>
    <row r="52" spans="2:4" ht="9.6" customHeight="1" x14ac:dyDescent="0.2"/>
    <row r="54" spans="2:4" x14ac:dyDescent="0.2">
      <c r="B54" s="14" t="s">
        <v>8</v>
      </c>
      <c r="C54" s="14"/>
      <c r="D54" s="15">
        <f>SUM(Revenue_Combinations_Ans)</f>
        <v>17325000</v>
      </c>
    </row>
    <row r="55" spans="2:4" x14ac:dyDescent="0.2">
      <c r="B55" s="14" t="s">
        <v>9</v>
      </c>
      <c r="C55" s="14"/>
      <c r="D55" s="15">
        <f>COUNT(Revenue_Combinations_Ans)</f>
        <v>231</v>
      </c>
    </row>
    <row r="56" spans="2:4" x14ac:dyDescent="0.2">
      <c r="B56" s="14" t="s">
        <v>10</v>
      </c>
      <c r="C56" s="14"/>
      <c r="D56" s="15">
        <f>AVERAGE(Revenue_Combinations_Ans)</f>
        <v>75000</v>
      </c>
    </row>
  </sheetData>
  <mergeCells count="3">
    <mergeCell ref="B10:J17"/>
    <mergeCell ref="G20:Q20"/>
    <mergeCell ref="F23:F4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send_to_problem_1">
                <anchor moveWithCells="1" sizeWithCells="1">
                  <from>
                    <xdr:col>10</xdr:col>
                    <xdr:colOff>373380</xdr:colOff>
                    <xdr:row>8</xdr:row>
                    <xdr:rowOff>68580</xdr:rowOff>
                  </from>
                  <to>
                    <xdr:col>13</xdr:col>
                    <xdr:colOff>53340</xdr:colOff>
                    <xdr:row>10</xdr:row>
                    <xdr:rowOff>68580</xdr:rowOff>
                  </to>
                </anchor>
              </controlPr>
            </control>
          </mc:Choice>
        </mc:AlternateContent>
        <mc:AlternateContent xmlns:mc="http://schemas.openxmlformats.org/markup-compatibility/2006">
          <mc:Choice Requires="x14">
            <control shapeId="3074" r:id="rId5" name="Button 2">
              <controlPr defaultSize="0" print="0" autoFill="0" autoPict="0" macro="[0]!ThisWorkbook.send_to_problem_2">
                <anchor moveWithCells="1" sizeWithCells="1">
                  <from>
                    <xdr:col>10</xdr:col>
                    <xdr:colOff>144780</xdr:colOff>
                    <xdr:row>52</xdr:row>
                    <xdr:rowOff>68580</xdr:rowOff>
                  </from>
                  <to>
                    <xdr:col>12</xdr:col>
                    <xdr:colOff>320040</xdr:colOff>
                    <xdr:row>54</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Question</vt:lpstr>
      <vt:lpstr>Question_Ans</vt:lpstr>
      <vt:lpstr>Revenue_Combinations</vt:lpstr>
      <vt:lpstr>Question!Revenue_Combinations_Ans</vt:lpstr>
      <vt:lpstr>Revenue_Combinations_Ans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Dipankar Sarma</cp:lastModifiedBy>
  <cp:lastPrinted>2016-09-26T13:23:13Z</cp:lastPrinted>
  <dcterms:created xsi:type="dcterms:W3CDTF">2014-11-18T17:16:50Z</dcterms:created>
  <dcterms:modified xsi:type="dcterms:W3CDTF">2022-12-13T04:04:33Z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